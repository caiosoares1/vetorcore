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DEB10BE8D6FDDD8/Documentos/"/>
    </mc:Choice>
  </mc:AlternateContent>
  <xr:revisionPtr revIDLastSave="0" documentId="8_{9828970F-9795-064B-A976-F4E68E3E6E3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lan1" sheetId="1" r:id="rId1"/>
    <sheet name="Plan2" sheetId="2" r:id="rId2"/>
    <sheet name="Plan3" sheetId="3" r:id="rId3"/>
    <sheet name="Planilha2" sheetId="5" r:id="rId4"/>
    <sheet name="Planilha1" sheetId="4" r:id="rId5"/>
  </sheets>
  <definedNames>
    <definedName name="_xlnm.Print_Area" localSheetId="2">Plan3!$B$2:$AC$22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8" i="2"/>
  <c r="F2" i="3"/>
  <c r="G3" i="2"/>
  <c r="G9" i="1"/>
  <c r="B9" i="2"/>
  <c r="B18" i="2"/>
  <c r="B20" i="2"/>
  <c r="B16" i="2"/>
  <c r="B19" i="2"/>
  <c r="J26" i="3"/>
  <c r="J27" i="3"/>
  <c r="B15" i="2"/>
  <c r="B21" i="2"/>
  <c r="B13" i="2"/>
  <c r="B12" i="2"/>
  <c r="B11" i="2"/>
  <c r="B10" i="2"/>
  <c r="B17" i="2"/>
  <c r="B7" i="2"/>
  <c r="B6" i="2"/>
  <c r="B5" i="2"/>
  <c r="D9" i="1"/>
  <c r="J9" i="1"/>
  <c r="K9" i="1"/>
  <c r="C13" i="1"/>
  <c r="C12" i="1"/>
  <c r="C11" i="1"/>
  <c r="L9" i="1"/>
  <c r="C10" i="1"/>
  <c r="E28" i="3"/>
  <c r="E34" i="3"/>
  <c r="E26" i="3"/>
  <c r="E32" i="3"/>
  <c r="I31" i="3"/>
  <c r="E25" i="3"/>
  <c r="E31" i="3"/>
  <c r="E27" i="3"/>
  <c r="E33" i="3"/>
  <c r="M5" i="2"/>
  <c r="M4" i="2"/>
  <c r="C9" i="1"/>
  <c r="E9" i="1"/>
  <c r="F5" i="2"/>
  <c r="G5" i="2"/>
  <c r="F6" i="3"/>
  <c r="L6" i="3"/>
  <c r="R6" i="3"/>
  <c r="W6" i="3"/>
  <c r="AB6" i="3"/>
  <c r="F18" i="2"/>
  <c r="G18" i="2"/>
  <c r="E19" i="3"/>
  <c r="K19" i="3"/>
  <c r="Q19" i="3"/>
  <c r="V19" i="3"/>
  <c r="AA19" i="3"/>
  <c r="F13" i="2"/>
  <c r="G13" i="2"/>
  <c r="F15" i="2"/>
  <c r="G15" i="2"/>
  <c r="F10" i="2"/>
  <c r="G10" i="2"/>
  <c r="F21" i="2"/>
  <c r="G21" i="2"/>
  <c r="F17" i="2"/>
  <c r="G17" i="2"/>
  <c r="F11" i="2"/>
  <c r="G11" i="2"/>
  <c r="F12" i="2"/>
  <c r="G12" i="2"/>
  <c r="F4" i="2"/>
  <c r="G4" i="2"/>
  <c r="F16" i="2"/>
  <c r="G16" i="2"/>
  <c r="F20" i="2"/>
  <c r="G20" i="2"/>
  <c r="F9" i="2"/>
  <c r="G9" i="2"/>
  <c r="F8" i="2"/>
  <c r="G8" i="2"/>
  <c r="F7" i="2"/>
  <c r="G7" i="2"/>
  <c r="F6" i="2"/>
  <c r="G6" i="2"/>
  <c r="F19" i="2"/>
  <c r="G19" i="2"/>
  <c r="D6" i="3"/>
  <c r="J6" i="3"/>
  <c r="P6" i="3"/>
  <c r="U6" i="3"/>
  <c r="Z6" i="3"/>
  <c r="G6" i="3"/>
  <c r="M6" i="3"/>
  <c r="S6" i="3"/>
  <c r="X6" i="3"/>
  <c r="AC6" i="3"/>
  <c r="E6" i="3"/>
  <c r="K6" i="3"/>
  <c r="Q6" i="3"/>
  <c r="V6" i="3"/>
  <c r="AA6" i="3"/>
  <c r="G19" i="3"/>
  <c r="M19" i="3"/>
  <c r="S19" i="3"/>
  <c r="X19" i="3"/>
  <c r="AC19" i="3"/>
  <c r="F19" i="3"/>
  <c r="L19" i="3"/>
  <c r="R19" i="3"/>
  <c r="W19" i="3"/>
  <c r="AB19" i="3"/>
  <c r="D19" i="3"/>
  <c r="J19" i="3"/>
  <c r="P19" i="3"/>
  <c r="U19" i="3"/>
  <c r="Z19" i="3"/>
  <c r="G22" i="3"/>
  <c r="M22" i="3"/>
  <c r="S22" i="3"/>
  <c r="X22" i="3"/>
  <c r="AC22" i="3"/>
  <c r="D22" i="3"/>
  <c r="J22" i="3"/>
  <c r="P22" i="3"/>
  <c r="U22" i="3"/>
  <c r="Z22" i="3"/>
  <c r="F22" i="3"/>
  <c r="L22" i="3"/>
  <c r="R22" i="3"/>
  <c r="W22" i="3"/>
  <c r="AB22" i="3"/>
  <c r="E22" i="3"/>
  <c r="K22" i="3"/>
  <c r="Q22" i="3"/>
  <c r="V22" i="3"/>
  <c r="AA22" i="3"/>
  <c r="F16" i="3"/>
  <c r="L16" i="3"/>
  <c r="R16" i="3"/>
  <c r="W16" i="3"/>
  <c r="AB16" i="3"/>
  <c r="D16" i="3"/>
  <c r="J16" i="3"/>
  <c r="P16" i="3"/>
  <c r="U16" i="3"/>
  <c r="Z16" i="3"/>
  <c r="G16" i="3"/>
  <c r="M16" i="3"/>
  <c r="S16" i="3"/>
  <c r="X16" i="3"/>
  <c r="AC16" i="3"/>
  <c r="E16" i="3"/>
  <c r="K16" i="3"/>
  <c r="Q16" i="3"/>
  <c r="V16" i="3"/>
  <c r="AA16" i="3"/>
  <c r="D18" i="3"/>
  <c r="J18" i="3"/>
  <c r="P18" i="3"/>
  <c r="U18" i="3"/>
  <c r="Z18" i="3"/>
  <c r="G18" i="3"/>
  <c r="M18" i="3"/>
  <c r="S18" i="3"/>
  <c r="X18" i="3"/>
  <c r="AC18" i="3"/>
  <c r="E18" i="3"/>
  <c r="K18" i="3"/>
  <c r="Q18" i="3"/>
  <c r="V18" i="3"/>
  <c r="AA18" i="3"/>
  <c r="F18" i="3"/>
  <c r="L18" i="3"/>
  <c r="R18" i="3"/>
  <c r="W18" i="3"/>
  <c r="AB18" i="3"/>
  <c r="G20" i="3"/>
  <c r="M20" i="3"/>
  <c r="S20" i="3"/>
  <c r="X20" i="3"/>
  <c r="AC20" i="3"/>
  <c r="E20" i="3"/>
  <c r="K20" i="3"/>
  <c r="Q20" i="3"/>
  <c r="V20" i="3"/>
  <c r="AA20" i="3"/>
  <c r="F20" i="3"/>
  <c r="L20" i="3"/>
  <c r="R20" i="3"/>
  <c r="W20" i="3"/>
  <c r="AB20" i="3"/>
  <c r="D20" i="3"/>
  <c r="J20" i="3"/>
  <c r="P20" i="3"/>
  <c r="U20" i="3"/>
  <c r="Z20" i="3"/>
  <c r="D7" i="3"/>
  <c r="J7" i="3"/>
  <c r="P7" i="3"/>
  <c r="U7" i="3"/>
  <c r="Z7" i="3"/>
  <c r="F7" i="3"/>
  <c r="L7" i="3"/>
  <c r="R7" i="3"/>
  <c r="W7" i="3"/>
  <c r="AB7" i="3"/>
  <c r="G7" i="3"/>
  <c r="M7" i="3"/>
  <c r="S7" i="3"/>
  <c r="X7" i="3"/>
  <c r="AC7" i="3"/>
  <c r="E7" i="3"/>
  <c r="K7" i="3"/>
  <c r="Q7" i="3"/>
  <c r="V7" i="3"/>
  <c r="AA7" i="3"/>
  <c r="D14" i="3"/>
  <c r="J14" i="3"/>
  <c r="P14" i="3"/>
  <c r="U14" i="3"/>
  <c r="Z14" i="3"/>
  <c r="F14" i="3"/>
  <c r="L14" i="3"/>
  <c r="R14" i="3"/>
  <c r="W14" i="3"/>
  <c r="AB14" i="3"/>
  <c r="E14" i="3"/>
  <c r="K14" i="3"/>
  <c r="Q14" i="3"/>
  <c r="V14" i="3"/>
  <c r="AA14" i="3"/>
  <c r="G14" i="3"/>
  <c r="M14" i="3"/>
  <c r="S14" i="3"/>
  <c r="X14" i="3"/>
  <c r="AC14" i="3"/>
  <c r="F10" i="3"/>
  <c r="L10" i="3"/>
  <c r="R10" i="3"/>
  <c r="W10" i="3"/>
  <c r="AB10" i="3"/>
  <c r="D10" i="3"/>
  <c r="J10" i="3"/>
  <c r="P10" i="3"/>
  <c r="U10" i="3"/>
  <c r="Z10" i="3"/>
  <c r="E10" i="3"/>
  <c r="K10" i="3"/>
  <c r="Q10" i="3"/>
  <c r="V10" i="3"/>
  <c r="AA10" i="3"/>
  <c r="G10" i="3"/>
  <c r="M10" i="3"/>
  <c r="S10" i="3"/>
  <c r="X10" i="3"/>
  <c r="AC10" i="3"/>
  <c r="G11" i="3"/>
  <c r="M11" i="3"/>
  <c r="S11" i="3"/>
  <c r="X11" i="3"/>
  <c r="AC11" i="3"/>
  <c r="D11" i="3"/>
  <c r="J11" i="3"/>
  <c r="P11" i="3"/>
  <c r="U11" i="3"/>
  <c r="Z11" i="3"/>
  <c r="F11" i="3"/>
  <c r="L11" i="3"/>
  <c r="R11" i="3"/>
  <c r="W11" i="3"/>
  <c r="AB11" i="3"/>
  <c r="E11" i="3"/>
  <c r="K11" i="3"/>
  <c r="Q11" i="3"/>
  <c r="V11" i="3"/>
  <c r="AA11" i="3"/>
  <c r="F8" i="3"/>
  <c r="L8" i="3"/>
  <c r="R8" i="3"/>
  <c r="W8" i="3"/>
  <c r="AB8" i="3"/>
  <c r="G8" i="3"/>
  <c r="M8" i="3"/>
  <c r="S8" i="3"/>
  <c r="X8" i="3"/>
  <c r="AC8" i="3"/>
  <c r="D8" i="3"/>
  <c r="J8" i="3"/>
  <c r="P8" i="3"/>
  <c r="U8" i="3"/>
  <c r="Z8" i="3"/>
  <c r="E8" i="3"/>
  <c r="K8" i="3"/>
  <c r="Q8" i="3"/>
  <c r="V8" i="3"/>
  <c r="AA8" i="3"/>
  <c r="D9" i="3"/>
  <c r="J9" i="3"/>
  <c r="P9" i="3"/>
  <c r="U9" i="3"/>
  <c r="Z9" i="3"/>
  <c r="E9" i="3"/>
  <c r="K9" i="3"/>
  <c r="Q9" i="3"/>
  <c r="V9" i="3"/>
  <c r="AA9" i="3"/>
  <c r="G9" i="3"/>
  <c r="M9" i="3"/>
  <c r="S9" i="3"/>
  <c r="X9" i="3"/>
  <c r="AC9" i="3"/>
  <c r="F9" i="3"/>
  <c r="L9" i="3"/>
  <c r="R9" i="3"/>
  <c r="W9" i="3"/>
  <c r="AB9" i="3"/>
  <c r="D21" i="3"/>
  <c r="J21" i="3"/>
  <c r="P21" i="3"/>
  <c r="U21" i="3"/>
  <c r="Z21" i="3"/>
  <c r="E21" i="3"/>
  <c r="K21" i="3"/>
  <c r="Q21" i="3"/>
  <c r="V21" i="3"/>
  <c r="AA21" i="3"/>
  <c r="G21" i="3"/>
  <c r="M21" i="3"/>
  <c r="S21" i="3"/>
  <c r="X21" i="3"/>
  <c r="AC21" i="3"/>
  <c r="F21" i="3"/>
  <c r="L21" i="3"/>
  <c r="R21" i="3"/>
  <c r="W21" i="3"/>
  <c r="AB21" i="3"/>
  <c r="E17" i="3"/>
  <c r="K17" i="3"/>
  <c r="Q17" i="3"/>
  <c r="V17" i="3"/>
  <c r="AA17" i="3"/>
  <c r="G17" i="3"/>
  <c r="M17" i="3"/>
  <c r="S17" i="3"/>
  <c r="X17" i="3"/>
  <c r="AC17" i="3"/>
  <c r="D17" i="3"/>
  <c r="J17" i="3"/>
  <c r="P17" i="3"/>
  <c r="U17" i="3"/>
  <c r="Z17" i="3"/>
  <c r="F17" i="3"/>
  <c r="L17" i="3"/>
  <c r="R17" i="3"/>
  <c r="W17" i="3"/>
  <c r="AB17" i="3"/>
  <c r="E5" i="3"/>
  <c r="K5" i="3"/>
  <c r="Q5" i="3"/>
  <c r="V5" i="3"/>
  <c r="AA5" i="3"/>
  <c r="G5" i="3"/>
  <c r="M5" i="3"/>
  <c r="S5" i="3"/>
  <c r="X5" i="3"/>
  <c r="AC5" i="3"/>
  <c r="F5" i="3"/>
  <c r="L5" i="3"/>
  <c r="R5" i="3"/>
  <c r="W5" i="3"/>
  <c r="AB5" i="3"/>
  <c r="D5" i="3"/>
  <c r="J5" i="3"/>
  <c r="P5" i="3"/>
  <c r="U5" i="3"/>
  <c r="Z5" i="3"/>
  <c r="G13" i="3"/>
  <c r="M13" i="3"/>
  <c r="S13" i="3"/>
  <c r="X13" i="3"/>
  <c r="AC13" i="3"/>
  <c r="E13" i="3"/>
  <c r="K13" i="3"/>
  <c r="Q13" i="3"/>
  <c r="V13" i="3"/>
  <c r="AA13" i="3"/>
  <c r="F13" i="3"/>
  <c r="L13" i="3"/>
  <c r="R13" i="3"/>
  <c r="W13" i="3"/>
  <c r="AB13" i="3"/>
  <c r="D13" i="3"/>
  <c r="J13" i="3"/>
  <c r="P13" i="3"/>
  <c r="U13" i="3"/>
  <c r="Z13" i="3"/>
  <c r="D12" i="3"/>
  <c r="J12" i="3"/>
  <c r="P12" i="3"/>
  <c r="U12" i="3"/>
  <c r="Z12" i="3"/>
  <c r="G12" i="3"/>
  <c r="M12" i="3"/>
  <c r="S12" i="3"/>
  <c r="X12" i="3"/>
  <c r="AC12" i="3"/>
  <c r="E12" i="3"/>
  <c r="K12" i="3"/>
  <c r="Q12" i="3"/>
  <c r="V12" i="3"/>
  <c r="AA12" i="3"/>
  <c r="F12" i="3"/>
  <c r="L12" i="3"/>
  <c r="R12" i="3"/>
  <c r="W12" i="3"/>
  <c r="AB12" i="3"/>
</calcChain>
</file>

<file path=xl/sharedStrings.xml><?xml version="1.0" encoding="utf-8"?>
<sst xmlns="http://schemas.openxmlformats.org/spreadsheetml/2006/main" count="202" uniqueCount="95">
  <si>
    <t>POLYESTER 120</t>
  </si>
  <si>
    <t>AREA DE IMPRESSÃO EM M QUADRADO</t>
  </si>
  <si>
    <t>TEMPO GASTO EM HORAS E MINUTOS  P/MIL</t>
  </si>
  <si>
    <t>QUANTIDADE DE TINTA PREVISTA EM M 2</t>
  </si>
  <si>
    <t>QUANTIDADE DE SOLVENTE PREVISTO</t>
  </si>
  <si>
    <t>CUSTO DA MÃO DE OBRA</t>
  </si>
  <si>
    <t>QUANTIDADE DE SACOLA</t>
  </si>
  <si>
    <t>VALOR DA TINTA</t>
  </si>
  <si>
    <t>200 ML DE SOLVENTE</t>
  </si>
  <si>
    <t>ENERGIA</t>
  </si>
  <si>
    <t>TINTA POLYETILENO</t>
  </si>
  <si>
    <t>limpeza de matrizes</t>
  </si>
  <si>
    <t>CUSTO POR MIL</t>
  </si>
  <si>
    <t>1 COR</t>
  </si>
  <si>
    <t>2 CORES</t>
  </si>
  <si>
    <t>3 CORES</t>
  </si>
  <si>
    <t>4 CORES</t>
  </si>
  <si>
    <t>=</t>
  </si>
  <si>
    <t>SACOLA TAMANHO E MODELOS</t>
  </si>
  <si>
    <t>TAMANHO</t>
  </si>
  <si>
    <t>COR</t>
  </si>
  <si>
    <t>ESPESSURA</t>
  </si>
  <si>
    <t>MODELO</t>
  </si>
  <si>
    <t>PREÇO</t>
  </si>
  <si>
    <t>QUANT.</t>
  </si>
  <si>
    <t>BRANCA</t>
  </si>
  <si>
    <t>ALÇA C</t>
  </si>
  <si>
    <t>CAMISETA</t>
  </si>
  <si>
    <t>TINTA</t>
  </si>
  <si>
    <t>SACOLA</t>
  </si>
  <si>
    <t>SOLVENTE</t>
  </si>
  <si>
    <t>MÃO DE OBRA</t>
  </si>
  <si>
    <t>ALÇA C OU BOCA DE PALHAÇO</t>
  </si>
  <si>
    <t>UNIDADES</t>
  </si>
  <si>
    <t>500 1 COR</t>
  </si>
  <si>
    <t>500 2 CORES</t>
  </si>
  <si>
    <t>500 3 CORES</t>
  </si>
  <si>
    <t>500 4 CORES</t>
  </si>
  <si>
    <t>250 1 COR</t>
  </si>
  <si>
    <t>250 2 CORES</t>
  </si>
  <si>
    <t>250 3 CORES</t>
  </si>
  <si>
    <t>250 4 CORES</t>
  </si>
  <si>
    <t>125 1 COR</t>
  </si>
  <si>
    <t>125 2 CORES</t>
  </si>
  <si>
    <t>125 3 CORES</t>
  </si>
  <si>
    <t>125 4 CORES</t>
  </si>
  <si>
    <t>espessura</t>
  </si>
  <si>
    <t>60 1 COR</t>
  </si>
  <si>
    <t>60 2 CORES</t>
  </si>
  <si>
    <t>60 3 CORES</t>
  </si>
  <si>
    <t>60 4 CORES</t>
  </si>
  <si>
    <t>30 X 40</t>
  </si>
  <si>
    <t>40 X 50</t>
  </si>
  <si>
    <t>40 X 60</t>
  </si>
  <si>
    <t>30 X 32</t>
  </si>
  <si>
    <t>50 X 70</t>
  </si>
  <si>
    <t>60 X 80</t>
  </si>
  <si>
    <t>45 X 60</t>
  </si>
  <si>
    <t>45 x 60</t>
  </si>
  <si>
    <t xml:space="preserve"> </t>
  </si>
  <si>
    <t>quant</t>
  </si>
  <si>
    <t>vlr.tot</t>
  </si>
  <si>
    <t>35x50</t>
  </si>
  <si>
    <t>Tamanho</t>
  </si>
  <si>
    <t>1 cor</t>
  </si>
  <si>
    <t>5 cores</t>
  </si>
  <si>
    <t>cores</t>
  </si>
  <si>
    <t>30x40</t>
  </si>
  <si>
    <t>orçamento menor preço</t>
  </si>
  <si>
    <t>PREÇO de  compra</t>
  </si>
  <si>
    <t>15x20</t>
  </si>
  <si>
    <t>vlr/kg</t>
  </si>
  <si>
    <t>%</t>
  </si>
  <si>
    <t>energia</t>
  </si>
  <si>
    <t>FORNECEDOR</t>
  </si>
  <si>
    <t>MAIN</t>
  </si>
  <si>
    <t>TECNOPLAST</t>
  </si>
  <si>
    <t>2 IRMÃO</t>
  </si>
  <si>
    <t>15X25</t>
  </si>
  <si>
    <t>20X30</t>
  </si>
  <si>
    <t>25X35</t>
  </si>
  <si>
    <t>30X40</t>
  </si>
  <si>
    <t>35X50</t>
  </si>
  <si>
    <t>40X50</t>
  </si>
  <si>
    <t>40X60</t>
  </si>
  <si>
    <t>45X60</t>
  </si>
  <si>
    <t>35x45</t>
  </si>
  <si>
    <t>45x60</t>
  </si>
  <si>
    <t>kg/1000</t>
  </si>
  <si>
    <t>30x45</t>
  </si>
  <si>
    <t>30x32</t>
  </si>
  <si>
    <t>7 cores</t>
  </si>
  <si>
    <t>30 X 45</t>
  </si>
  <si>
    <t>total mais</t>
  </si>
  <si>
    <t>17x24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</si>
</sst>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0.000"/>
    <numFmt numFmtId="166" formatCode="#,##0.000_ ;\-#,##0.000\ "/>
    <numFmt numFmtId="167" formatCode="[$R$-416]#,##0.00"/>
    <numFmt numFmtId="168" formatCode="_-[$R$-416]* #,##0.00_-;\-[$R$-416]* #,##0.00_-;_-[$R$-416]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1" xfId="1" applyFont="1" applyBorder="1"/>
    <xf numFmtId="165" fontId="0" fillId="0" borderId="1" xfId="0" applyNumberFormat="1" applyBorder="1" applyAlignment="1">
      <alignment horizontal="center"/>
    </xf>
    <xf numFmtId="164" fontId="0" fillId="0" borderId="0" xfId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1" xfId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vertical="center" textRotation="90" wrapText="1"/>
    </xf>
    <xf numFmtId="0" fontId="3" fillId="11" borderId="1" xfId="0" applyFont="1" applyFill="1" applyBorder="1" applyAlignment="1">
      <alignment horizontal="center"/>
    </xf>
    <xf numFmtId="0" fontId="3" fillId="11" borderId="8" xfId="0" applyFont="1" applyFill="1" applyBorder="1" applyAlignment="1">
      <alignment horizontal="center"/>
    </xf>
    <xf numFmtId="0" fontId="3" fillId="11" borderId="1" xfId="0" applyFont="1" applyFill="1" applyBorder="1"/>
    <xf numFmtId="0" fontId="3" fillId="11" borderId="7" xfId="0" applyFont="1" applyFill="1" applyBorder="1" applyAlignment="1">
      <alignment horizontal="center"/>
    </xf>
    <xf numFmtId="166" fontId="0" fillId="9" borderId="1" xfId="1" applyNumberFormat="1" applyFont="1" applyFill="1" applyBorder="1" applyAlignment="1">
      <alignment horizontal="center"/>
    </xf>
    <xf numFmtId="0" fontId="0" fillId="0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1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164" fontId="1" fillId="0" borderId="1" xfId="1" applyFont="1" applyFill="1" applyBorder="1" applyAlignment="1">
      <alignment horizontal="center"/>
    </xf>
    <xf numFmtId="164" fontId="0" fillId="0" borderId="5" xfId="0" applyNumberForma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165" fontId="3" fillId="7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2" borderId="1" xfId="0" applyFont="1" applyFill="1" applyBorder="1" applyAlignment="1">
      <alignment horizontal="center" vertical="center" textRotation="90" wrapText="1"/>
    </xf>
    <xf numFmtId="164" fontId="0" fillId="0" borderId="0" xfId="0" applyNumberFormat="1" applyAlignment="1">
      <alignment horizontal="center"/>
    </xf>
    <xf numFmtId="164" fontId="0" fillId="0" borderId="0" xfId="1" applyFont="1" applyAlignment="1">
      <alignment horizontal="center" vertical="center"/>
    </xf>
    <xf numFmtId="164" fontId="0" fillId="0" borderId="0" xfId="1" applyFont="1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164" fontId="0" fillId="9" borderId="1" xfId="1" applyFon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164" fontId="0" fillId="16" borderId="1" xfId="1" applyFont="1" applyFill="1" applyBorder="1" applyAlignment="1">
      <alignment horizontal="center"/>
    </xf>
    <xf numFmtId="1" fontId="0" fillId="16" borderId="1" xfId="0" applyNumberFormat="1" applyFill="1" applyBorder="1" applyAlignment="1">
      <alignment horizontal="center"/>
    </xf>
    <xf numFmtId="1" fontId="0" fillId="16" borderId="1" xfId="1" applyNumberFormat="1" applyFont="1" applyFill="1" applyBorder="1" applyAlignment="1">
      <alignment horizontal="center"/>
    </xf>
    <xf numFmtId="0" fontId="0" fillId="0" borderId="0" xfId="0" applyAlignment="1">
      <alignment horizontal="centerContinuous"/>
    </xf>
    <xf numFmtId="164" fontId="0" fillId="0" borderId="0" xfId="0" applyNumberFormat="1"/>
    <xf numFmtId="0" fontId="0" fillId="0" borderId="5" xfId="0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10" fontId="0" fillId="0" borderId="0" xfId="2" applyNumberFormat="1" applyFont="1"/>
    <xf numFmtId="164" fontId="13" fillId="0" borderId="12" xfId="1" applyFont="1" applyBorder="1"/>
    <xf numFmtId="164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2" borderId="1" xfId="1" applyNumberFormat="1" applyFont="1" applyFill="1" applyBorder="1" applyAlignment="1">
      <alignment horizontal="center"/>
    </xf>
    <xf numFmtId="164" fontId="0" fillId="2" borderId="1" xfId="1" applyFont="1" applyFill="1" applyBorder="1"/>
    <xf numFmtId="164" fontId="0" fillId="2" borderId="1" xfId="1" applyFont="1" applyFill="1" applyBorder="1" applyAlignment="1">
      <alignment horizontal="center"/>
    </xf>
    <xf numFmtId="164" fontId="4" fillId="2" borderId="0" xfId="1" applyFont="1" applyFill="1" applyAlignment="1">
      <alignment horizontal="center"/>
    </xf>
    <xf numFmtId="167" fontId="0" fillId="2" borderId="1" xfId="0" applyNumberFormat="1" applyFill="1" applyBorder="1"/>
    <xf numFmtId="0" fontId="15" fillId="3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vertical="center"/>
    </xf>
    <xf numFmtId="0" fontId="12" fillId="17" borderId="1" xfId="0" applyFont="1" applyFill="1" applyBorder="1" applyAlignment="1">
      <alignment vertical="center"/>
    </xf>
    <xf numFmtId="0" fontId="12" fillId="18" borderId="1" xfId="0" applyFont="1" applyFill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11" borderId="4" xfId="0" applyFont="1" applyFill="1" applyBorder="1"/>
    <xf numFmtId="0" fontId="3" fillId="0" borderId="0" xfId="0" applyFont="1" applyBorder="1" applyAlignment="1">
      <alignment horizontal="center"/>
    </xf>
    <xf numFmtId="2" fontId="0" fillId="0" borderId="0" xfId="1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 textRotation="90" wrapText="1"/>
    </xf>
    <xf numFmtId="164" fontId="7" fillId="8" borderId="0" xfId="1" applyFont="1" applyFill="1" applyBorder="1" applyAlignment="1">
      <alignment horizontal="center" vertical="center" textRotation="90" wrapText="1"/>
    </xf>
    <xf numFmtId="0" fontId="7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0" fontId="10" fillId="13" borderId="1" xfId="0" applyFont="1" applyFill="1" applyBorder="1" applyAlignment="1">
      <alignment horizontal="center" vertical="center" textRotation="90" wrapText="1"/>
    </xf>
    <xf numFmtId="0" fontId="5" fillId="12" borderId="1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center" vertical="center" textRotation="90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textRotation="90" wrapText="1"/>
    </xf>
    <xf numFmtId="164" fontId="9" fillId="7" borderId="2" xfId="1" applyFont="1" applyFill="1" applyBorder="1" applyAlignment="1">
      <alignment horizontal="center" vertical="justify" textRotation="90" wrapText="1"/>
    </xf>
    <xf numFmtId="164" fontId="9" fillId="7" borderId="3" xfId="1" applyFont="1" applyFill="1" applyBorder="1" applyAlignment="1">
      <alignment horizontal="center" vertical="justify" textRotation="90" wrapText="1"/>
    </xf>
    <xf numFmtId="164" fontId="9" fillId="7" borderId="4" xfId="1" applyFont="1" applyFill="1" applyBorder="1" applyAlignment="1">
      <alignment horizontal="center" vertical="justify" textRotation="90" wrapText="1"/>
    </xf>
    <xf numFmtId="0" fontId="7" fillId="8" borderId="0" xfId="0" applyFont="1" applyFill="1" applyAlignment="1">
      <alignment horizontal="center" vertical="center" textRotation="90" wrapText="1"/>
    </xf>
    <xf numFmtId="0" fontId="7" fillId="2" borderId="1" xfId="0" applyFont="1" applyFill="1" applyBorder="1" applyAlignment="1">
      <alignment horizontal="center" vertical="center" textRotation="90" wrapText="1"/>
    </xf>
    <xf numFmtId="0" fontId="10" fillId="0" borderId="9" xfId="0" applyFont="1" applyBorder="1" applyAlignment="1">
      <alignment horizontal="center" vertical="center" textRotation="90" wrapText="1"/>
    </xf>
    <xf numFmtId="0" fontId="10" fillId="0" borderId="6" xfId="0" applyFont="1" applyBorder="1" applyAlignment="1">
      <alignment horizontal="center" vertical="center" textRotation="90" wrapText="1"/>
    </xf>
    <xf numFmtId="0" fontId="10" fillId="0" borderId="10" xfId="0" applyFont="1" applyBorder="1" applyAlignment="1">
      <alignment horizontal="center" vertical="center" textRotation="90" wrapText="1"/>
    </xf>
    <xf numFmtId="0" fontId="14" fillId="6" borderId="1" xfId="0" applyFont="1" applyFill="1" applyBorder="1" applyAlignment="1">
      <alignment horizontal="center" vertical="center" textRotation="90" wrapText="1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11" fontId="3" fillId="6" borderId="2" xfId="0" applyNumberFormat="1" applyFont="1" applyFill="1" applyBorder="1" applyAlignment="1">
      <alignment horizontal="center" textRotation="90" wrapText="1"/>
    </xf>
    <xf numFmtId="11" fontId="3" fillId="6" borderId="3" xfId="0" applyNumberFormat="1" applyFont="1" applyFill="1" applyBorder="1" applyAlignment="1">
      <alignment horizontal="center" textRotation="90" wrapText="1"/>
    </xf>
    <xf numFmtId="11" fontId="3" fillId="6" borderId="4" xfId="0" applyNumberFormat="1" applyFont="1" applyFill="1" applyBorder="1" applyAlignment="1">
      <alignment horizontal="center" textRotation="90" wrapText="1"/>
    </xf>
    <xf numFmtId="0" fontId="3" fillId="6" borderId="2" xfId="0" applyFont="1" applyFill="1" applyBorder="1" applyAlignment="1">
      <alignment horizontal="center" vertical="center" textRotation="90" wrapText="1"/>
    </xf>
    <xf numFmtId="0" fontId="3" fillId="6" borderId="3" xfId="0" applyFont="1" applyFill="1" applyBorder="1" applyAlignment="1">
      <alignment horizontal="center" vertical="center" textRotation="90" wrapText="1"/>
    </xf>
    <xf numFmtId="0" fontId="3" fillId="6" borderId="4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9" defaultPivotStyle="PivotStyleLight16"/>
  <colors>
    <mruColors>
      <color rgb="FFFFFFCC"/>
      <color rgb="FFFFFF99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3:L1046604"/>
  <sheetViews>
    <sheetView workbookViewId="0">
      <selection activeCell="G9" sqref="G9"/>
    </sheetView>
  </sheetViews>
  <sheetFormatPr defaultRowHeight="15" x14ac:dyDescent="0.2"/>
  <cols>
    <col min="2" max="2" width="9.14453125" style="1"/>
    <col min="3" max="3" width="12.5078125" style="1" customWidth="1"/>
    <col min="4" max="6" width="9.14453125" style="1"/>
    <col min="7" max="7" width="10.625" bestFit="1" customWidth="1"/>
    <col min="8" max="8" width="9.14453125" style="1"/>
    <col min="9" max="9" width="11.703125" bestFit="1" customWidth="1"/>
    <col min="10" max="10" width="10.4921875" bestFit="1" customWidth="1"/>
    <col min="11" max="11" width="9.4140625" style="1" bestFit="1" customWidth="1"/>
    <col min="12" max="12" width="10.35546875" customWidth="1"/>
  </cols>
  <sheetData>
    <row r="3" spans="1:12" ht="14.45" customHeight="1" x14ac:dyDescent="0.2">
      <c r="A3" s="77" t="s">
        <v>0</v>
      </c>
      <c r="B3" s="77"/>
      <c r="C3" s="99" t="s">
        <v>1</v>
      </c>
      <c r="D3" s="102" t="s">
        <v>2</v>
      </c>
      <c r="E3" s="102" t="s">
        <v>3</v>
      </c>
      <c r="F3" s="102" t="s">
        <v>4</v>
      </c>
      <c r="G3" s="102" t="s">
        <v>5</v>
      </c>
      <c r="H3" s="97" t="s">
        <v>6</v>
      </c>
      <c r="I3" s="98" t="s">
        <v>7</v>
      </c>
      <c r="J3" s="98" t="s">
        <v>8</v>
      </c>
      <c r="K3" s="98" t="s">
        <v>9</v>
      </c>
      <c r="L3" s="94" t="s">
        <v>73</v>
      </c>
    </row>
    <row r="4" spans="1:12" x14ac:dyDescent="0.2">
      <c r="A4" s="77" t="s">
        <v>10</v>
      </c>
      <c r="B4" s="77"/>
      <c r="C4" s="100"/>
      <c r="D4" s="103"/>
      <c r="E4" s="103"/>
      <c r="F4" s="103"/>
      <c r="G4" s="103"/>
      <c r="H4" s="97"/>
      <c r="I4" s="98"/>
      <c r="J4" s="98"/>
      <c r="K4" s="98"/>
      <c r="L4" s="94"/>
    </row>
    <row r="5" spans="1:12" ht="14.45" customHeight="1" x14ac:dyDescent="0.2">
      <c r="C5" s="100"/>
      <c r="D5" s="103"/>
      <c r="E5" s="103"/>
      <c r="F5" s="103"/>
      <c r="G5" s="103"/>
      <c r="H5" s="97"/>
      <c r="I5" s="98"/>
      <c r="J5" s="98"/>
      <c r="K5" s="98"/>
      <c r="L5" s="94" t="s">
        <v>11</v>
      </c>
    </row>
    <row r="6" spans="1:12" ht="14.45" customHeight="1" x14ac:dyDescent="0.2">
      <c r="C6" s="100"/>
      <c r="D6" s="103"/>
      <c r="E6" s="103"/>
      <c r="F6" s="103"/>
      <c r="G6" s="103"/>
      <c r="H6" s="97"/>
      <c r="I6" s="98"/>
      <c r="J6" s="98"/>
      <c r="K6" s="98"/>
      <c r="L6" s="94"/>
    </row>
    <row r="7" spans="1:12" ht="14.45" customHeight="1" x14ac:dyDescent="0.2">
      <c r="C7" s="100"/>
      <c r="D7" s="103"/>
      <c r="E7" s="103"/>
      <c r="F7" s="103"/>
      <c r="G7" s="103"/>
      <c r="H7" s="97"/>
      <c r="I7" s="98"/>
      <c r="J7" s="98"/>
      <c r="K7" s="98"/>
      <c r="L7" s="94"/>
    </row>
    <row r="8" spans="1:12" ht="14.45" customHeight="1" x14ac:dyDescent="0.2">
      <c r="C8" s="101"/>
      <c r="D8" s="104"/>
      <c r="E8" s="104"/>
      <c r="F8" s="104"/>
      <c r="G8" s="104"/>
      <c r="H8" s="97"/>
      <c r="I8" s="98"/>
      <c r="J8" s="98"/>
      <c r="K8" s="98"/>
      <c r="L8" s="94"/>
    </row>
    <row r="9" spans="1:12" ht="14.45" customHeight="1" x14ac:dyDescent="0.2">
      <c r="A9" s="95" t="s">
        <v>12</v>
      </c>
      <c r="B9" s="96"/>
      <c r="C9" s="58">
        <f>0.25*0.25</f>
        <v>6.25E-2</v>
      </c>
      <c r="D9" s="58">
        <f>0.12*H9/60</f>
        <v>2</v>
      </c>
      <c r="E9" s="59">
        <f>C9*H9</f>
        <v>62.5</v>
      </c>
      <c r="F9" s="58">
        <v>50</v>
      </c>
      <c r="G9" s="60">
        <f>3500/30/8*D9</f>
        <v>29.166666666666668</v>
      </c>
      <c r="H9" s="2">
        <v>1000</v>
      </c>
      <c r="I9" s="61">
        <v>140</v>
      </c>
      <c r="J9" s="61">
        <f>F9/50</f>
        <v>1</v>
      </c>
      <c r="K9" s="62">
        <f>1.2*D9</f>
        <v>2.4</v>
      </c>
      <c r="L9" s="63">
        <f>40/10</f>
        <v>4</v>
      </c>
    </row>
    <row r="10" spans="1:12" x14ac:dyDescent="0.2">
      <c r="B10" s="3" t="s">
        <v>13</v>
      </c>
      <c r="C10" s="4">
        <f>(G9+I9+J9+K9+L9)</f>
        <v>176.56666666666666</v>
      </c>
    </row>
    <row r="11" spans="1:12" x14ac:dyDescent="0.2">
      <c r="B11" s="3" t="s">
        <v>14</v>
      </c>
      <c r="C11" s="5">
        <f>(G9+I9+J9+K9)*2</f>
        <v>345.13333333333333</v>
      </c>
    </row>
    <row r="12" spans="1:12" x14ac:dyDescent="0.2">
      <c r="B12" s="3" t="s">
        <v>15</v>
      </c>
      <c r="C12" s="5">
        <f>(G9+I9+J9+K9)*3</f>
        <v>517.70000000000005</v>
      </c>
    </row>
    <row r="13" spans="1:12" x14ac:dyDescent="0.2">
      <c r="B13" s="3" t="s">
        <v>16</v>
      </c>
      <c r="C13" s="5">
        <f>(G9+I9+J9+K9)*4</f>
        <v>690.26666666666665</v>
      </c>
    </row>
    <row r="1046604" spans="9:9" x14ac:dyDescent="0.2">
      <c r="I1046604" t="s">
        <v>17</v>
      </c>
    </row>
  </sheetData>
  <mergeCells count="13">
    <mergeCell ref="L3:L8"/>
    <mergeCell ref="A9:B9"/>
    <mergeCell ref="H3:H8"/>
    <mergeCell ref="I3:I8"/>
    <mergeCell ref="J3:J8"/>
    <mergeCell ref="K3:K8"/>
    <mergeCell ref="A3:B3"/>
    <mergeCell ref="A4:B4"/>
    <mergeCell ref="C3:C8"/>
    <mergeCell ref="D3:D8"/>
    <mergeCell ref="E3:E8"/>
    <mergeCell ref="F3:F8"/>
    <mergeCell ref="G3:G8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B1:N22"/>
  <sheetViews>
    <sheetView zoomScale="120" zoomScaleNormal="120" workbookViewId="0">
      <selection activeCell="G4" sqref="G4"/>
    </sheetView>
  </sheetViews>
  <sheetFormatPr defaultRowHeight="15" x14ac:dyDescent="0.2"/>
  <cols>
    <col min="2" max="2" width="10.76171875" style="1" customWidth="1"/>
    <col min="3" max="3" width="9.14453125" style="1"/>
    <col min="4" max="4" width="11.1640625" style="1" customWidth="1"/>
    <col min="5" max="5" width="15.6015625" style="1" customWidth="1"/>
    <col min="6" max="6" width="16.27734375" bestFit="1" customWidth="1"/>
    <col min="7" max="7" width="11.8359375" bestFit="1" customWidth="1"/>
    <col min="9" max="9" width="10.0859375" style="1" customWidth="1"/>
    <col min="10" max="10" width="12.9140625" bestFit="1" customWidth="1"/>
    <col min="11" max="11" width="11.703125" customWidth="1"/>
    <col min="12" max="12" width="10.0859375" customWidth="1"/>
  </cols>
  <sheetData>
    <row r="1" spans="2:14" ht="15.75" thickBot="1" x14ac:dyDescent="0.25"/>
    <row r="2" spans="2:14" ht="15.75" thickBot="1" x14ac:dyDescent="0.25">
      <c r="B2" s="105" t="s">
        <v>18</v>
      </c>
      <c r="C2" s="105"/>
      <c r="D2" s="105"/>
      <c r="E2" s="105"/>
      <c r="F2" s="106"/>
      <c r="G2" s="54" t="s">
        <v>71</v>
      </c>
      <c r="H2" s="54" t="s">
        <v>72</v>
      </c>
      <c r="I2" s="107" t="s">
        <v>18</v>
      </c>
      <c r="J2" s="105"/>
      <c r="K2" s="105"/>
      <c r="L2" s="105"/>
      <c r="M2" s="105"/>
    </row>
    <row r="3" spans="2:14" x14ac:dyDescent="0.2">
      <c r="B3" s="37" t="s">
        <v>88</v>
      </c>
      <c r="C3" s="37" t="s">
        <v>63</v>
      </c>
      <c r="D3" s="37" t="s">
        <v>21</v>
      </c>
      <c r="E3" s="37" t="s">
        <v>22</v>
      </c>
      <c r="F3" s="53" t="s">
        <v>69</v>
      </c>
      <c r="G3" s="56">
        <f>Plan3!F2</f>
        <v>40</v>
      </c>
      <c r="H3" s="55">
        <v>0.35</v>
      </c>
      <c r="I3" s="37" t="s">
        <v>19</v>
      </c>
      <c r="J3" s="36" t="s">
        <v>20</v>
      </c>
      <c r="K3" s="37" t="s">
        <v>21</v>
      </c>
      <c r="L3" s="37" t="s">
        <v>22</v>
      </c>
      <c r="M3" s="37" t="s">
        <v>23</v>
      </c>
      <c r="N3" s="11" t="s">
        <v>24</v>
      </c>
    </row>
    <row r="4" spans="2:14" x14ac:dyDescent="0.2">
      <c r="B4" s="12">
        <f>17*24*0.011</f>
        <v>4.4879999999999995</v>
      </c>
      <c r="C4" s="25" t="s">
        <v>94</v>
      </c>
      <c r="D4" s="7">
        <v>1.0999999999999999E-2</v>
      </c>
      <c r="E4" s="37" t="s">
        <v>26</v>
      </c>
      <c r="F4" s="6">
        <f>B4*$G$3</f>
        <v>179.51999999999998</v>
      </c>
      <c r="G4" s="57">
        <f>F4/(1-$H$3)</f>
        <v>276.18461538461537</v>
      </c>
      <c r="I4" s="37">
        <v>12</v>
      </c>
      <c r="J4" s="36" t="s">
        <v>25</v>
      </c>
      <c r="K4" s="7">
        <v>0.01</v>
      </c>
      <c r="L4" s="37" t="s">
        <v>26</v>
      </c>
      <c r="M4" s="10">
        <f>I4*15*1.3</f>
        <v>234</v>
      </c>
    </row>
    <row r="5" spans="2:14" x14ac:dyDescent="0.2">
      <c r="B5" s="12">
        <f>15*25*0.01</f>
        <v>3.75</v>
      </c>
      <c r="C5" s="25" t="s">
        <v>78</v>
      </c>
      <c r="D5" s="7">
        <v>0.01</v>
      </c>
      <c r="E5" s="37" t="s">
        <v>26</v>
      </c>
      <c r="F5" s="6">
        <f t="shared" ref="F5:F13" si="0">B5*$G$3</f>
        <v>150</v>
      </c>
      <c r="G5" s="57">
        <f t="shared" ref="G5:G11" si="1">F5/(1-$H$3)</f>
        <v>230.76923076923077</v>
      </c>
      <c r="I5" s="37">
        <v>8.1</v>
      </c>
      <c r="J5" s="36" t="s">
        <v>25</v>
      </c>
      <c r="K5" s="7">
        <v>5.0000000000000001E-3</v>
      </c>
      <c r="L5" s="37" t="s">
        <v>27</v>
      </c>
      <c r="M5" s="10">
        <f>I5*39.9*1.3</f>
        <v>420.14699999999999</v>
      </c>
    </row>
    <row r="6" spans="2:14" x14ac:dyDescent="0.2">
      <c r="B6" s="12">
        <f>20*30*0.01</f>
        <v>6</v>
      </c>
      <c r="C6" s="25" t="s">
        <v>79</v>
      </c>
      <c r="D6" s="7">
        <v>0.01</v>
      </c>
      <c r="E6" s="37" t="s">
        <v>26</v>
      </c>
      <c r="F6" s="6">
        <f t="shared" si="0"/>
        <v>240</v>
      </c>
      <c r="G6" s="57">
        <f t="shared" si="1"/>
        <v>369.23076923076923</v>
      </c>
      <c r="K6" s="9"/>
      <c r="L6" s="1"/>
    </row>
    <row r="7" spans="2:14" x14ac:dyDescent="0.2">
      <c r="B7" s="12">
        <f>25*35*0.01</f>
        <v>8.75</v>
      </c>
      <c r="C7" s="25" t="s">
        <v>80</v>
      </c>
      <c r="D7" s="7">
        <v>0.01</v>
      </c>
      <c r="E7" s="37" t="s">
        <v>26</v>
      </c>
      <c r="F7" s="6">
        <f t="shared" si="0"/>
        <v>350</v>
      </c>
      <c r="G7" s="57">
        <f t="shared" si="1"/>
        <v>538.46153846153845</v>
      </c>
      <c r="K7" s="9"/>
      <c r="L7" s="1"/>
    </row>
    <row r="8" spans="2:14" x14ac:dyDescent="0.2">
      <c r="B8" s="12">
        <f>30*40*0.011</f>
        <v>13.2</v>
      </c>
      <c r="C8" s="25" t="s">
        <v>81</v>
      </c>
      <c r="D8" s="7">
        <v>0.01</v>
      </c>
      <c r="E8" s="37" t="s">
        <v>26</v>
      </c>
      <c r="F8" s="6">
        <f>B8*$G$3</f>
        <v>528</v>
      </c>
      <c r="G8" s="57">
        <f t="shared" si="1"/>
        <v>812.30769230769226</v>
      </c>
      <c r="K8" s="9"/>
      <c r="L8" s="1"/>
    </row>
    <row r="9" spans="2:14" x14ac:dyDescent="0.2">
      <c r="B9" s="12">
        <f>30*45*0.01</f>
        <v>13.5</v>
      </c>
      <c r="C9" s="25" t="s">
        <v>89</v>
      </c>
      <c r="D9" s="7">
        <v>0.01</v>
      </c>
      <c r="E9" s="37" t="s">
        <v>26</v>
      </c>
      <c r="F9" s="6">
        <f t="shared" si="0"/>
        <v>540</v>
      </c>
      <c r="G9" s="57">
        <f t="shared" si="1"/>
        <v>830.76923076923072</v>
      </c>
      <c r="K9" s="9"/>
      <c r="L9" s="1"/>
    </row>
    <row r="10" spans="2:14" x14ac:dyDescent="0.2">
      <c r="B10" s="12">
        <f>35*50*0.01</f>
        <v>17.5</v>
      </c>
      <c r="C10" s="25" t="s">
        <v>62</v>
      </c>
      <c r="D10" s="7">
        <v>0.01</v>
      </c>
      <c r="E10" s="37" t="s">
        <v>26</v>
      </c>
      <c r="F10" s="6">
        <f t="shared" si="0"/>
        <v>700</v>
      </c>
      <c r="G10" s="57">
        <f t="shared" si="1"/>
        <v>1076.9230769230769</v>
      </c>
      <c r="K10" s="9"/>
      <c r="L10" s="1"/>
    </row>
    <row r="11" spans="2:14" x14ac:dyDescent="0.2">
      <c r="B11" s="12">
        <f>40*50*0.01</f>
        <v>20</v>
      </c>
      <c r="C11" s="25" t="s">
        <v>83</v>
      </c>
      <c r="D11" s="7">
        <v>0.01</v>
      </c>
      <c r="E11" s="37" t="s">
        <v>26</v>
      </c>
      <c r="F11" s="6">
        <f t="shared" si="0"/>
        <v>800</v>
      </c>
      <c r="G11" s="57">
        <f t="shared" si="1"/>
        <v>1230.7692307692307</v>
      </c>
      <c r="K11" s="9"/>
      <c r="L11" s="1"/>
    </row>
    <row r="12" spans="2:14" x14ac:dyDescent="0.2">
      <c r="B12" s="12">
        <f>40*60*0.01</f>
        <v>24</v>
      </c>
      <c r="C12" s="25" t="s">
        <v>84</v>
      </c>
      <c r="D12" s="7">
        <v>0.01</v>
      </c>
      <c r="E12" s="37" t="s">
        <v>26</v>
      </c>
      <c r="F12" s="6">
        <f>B12*$G$3</f>
        <v>960</v>
      </c>
      <c r="G12" s="52">
        <f t="shared" ref="G12:G13" si="2">F12/(1-$H$3)</f>
        <v>1476.9230769230769</v>
      </c>
      <c r="K12" s="9"/>
      <c r="L12" s="1"/>
    </row>
    <row r="13" spans="2:14" x14ac:dyDescent="0.2">
      <c r="B13" s="12">
        <f>45*60*0.01</f>
        <v>27</v>
      </c>
      <c r="C13" s="25" t="s">
        <v>87</v>
      </c>
      <c r="D13" s="7">
        <v>0.01</v>
      </c>
      <c r="E13" s="37" t="s">
        <v>26</v>
      </c>
      <c r="F13" s="6">
        <f t="shared" si="0"/>
        <v>1080</v>
      </c>
      <c r="G13" s="52">
        <f t="shared" si="2"/>
        <v>1661.5384615384614</v>
      </c>
      <c r="K13" s="9"/>
      <c r="L13" s="1"/>
    </row>
    <row r="14" spans="2:14" x14ac:dyDescent="0.2">
      <c r="B14" s="13"/>
      <c r="F14" s="6"/>
    </row>
    <row r="15" spans="2:14" x14ac:dyDescent="0.2">
      <c r="B15" s="12">
        <f>30*32*0.006</f>
        <v>5.76</v>
      </c>
      <c r="C15" s="37" t="s">
        <v>90</v>
      </c>
      <c r="D15" s="37">
        <v>6.0000000000000001E-3</v>
      </c>
      <c r="E15" s="37" t="s">
        <v>27</v>
      </c>
      <c r="F15" s="6">
        <f>B15*$G$3</f>
        <v>230.39999999999998</v>
      </c>
      <c r="G15" s="52">
        <f>F15/(1-$H$3)</f>
        <v>354.4615384615384</v>
      </c>
    </row>
    <row r="16" spans="2:14" x14ac:dyDescent="0.2">
      <c r="B16" s="12">
        <f>30*45*0.006</f>
        <v>8.1</v>
      </c>
      <c r="C16" s="37" t="s">
        <v>89</v>
      </c>
      <c r="D16" s="37">
        <v>6.0000000000000001E-3</v>
      </c>
      <c r="E16" s="37" t="s">
        <v>27</v>
      </c>
      <c r="F16" s="6">
        <f t="shared" ref="F16:F21" si="3">B16*$G$3</f>
        <v>324</v>
      </c>
      <c r="G16" s="52">
        <f t="shared" ref="G16:G21" si="4">F16/(1-$H$3)</f>
        <v>498.46153846153845</v>
      </c>
    </row>
    <row r="17" spans="2:10" x14ac:dyDescent="0.2">
      <c r="B17" s="12">
        <f>40*50*0.006</f>
        <v>12</v>
      </c>
      <c r="C17" s="37" t="s">
        <v>25</v>
      </c>
      <c r="D17" s="37">
        <v>6.0000000000000001E-3</v>
      </c>
      <c r="E17" s="37" t="s">
        <v>27</v>
      </c>
      <c r="F17" s="6">
        <f t="shared" si="3"/>
        <v>480</v>
      </c>
      <c r="G17" s="52">
        <f t="shared" si="4"/>
        <v>738.46153846153845</v>
      </c>
    </row>
    <row r="18" spans="2:10" x14ac:dyDescent="0.2">
      <c r="B18" s="12">
        <f>40*60*0.006</f>
        <v>14.4</v>
      </c>
      <c r="C18" s="37" t="s">
        <v>25</v>
      </c>
      <c r="D18" s="37">
        <v>6.0000000000000001E-3</v>
      </c>
      <c r="E18" s="37" t="s">
        <v>27</v>
      </c>
      <c r="F18" s="6">
        <f t="shared" si="3"/>
        <v>576</v>
      </c>
      <c r="G18" s="52">
        <f t="shared" si="4"/>
        <v>886.15384615384608</v>
      </c>
      <c r="J18" t="s">
        <v>28</v>
      </c>
    </row>
    <row r="19" spans="2:10" x14ac:dyDescent="0.2">
      <c r="B19" s="12">
        <f>50*70*0.005</f>
        <v>17.5</v>
      </c>
      <c r="C19" s="37" t="s">
        <v>25</v>
      </c>
      <c r="D19" s="37">
        <v>5.0000000000000001E-3</v>
      </c>
      <c r="E19" s="37" t="s">
        <v>27</v>
      </c>
      <c r="F19" s="6">
        <f t="shared" si="3"/>
        <v>700</v>
      </c>
      <c r="G19" s="52">
        <f t="shared" si="4"/>
        <v>1076.9230769230769</v>
      </c>
      <c r="J19" t="s">
        <v>29</v>
      </c>
    </row>
    <row r="20" spans="2:10" x14ac:dyDescent="0.2">
      <c r="B20" s="12">
        <f>60*80*0.005</f>
        <v>24</v>
      </c>
      <c r="C20" s="37" t="s">
        <v>25</v>
      </c>
      <c r="D20" s="37">
        <v>5.0000000000000001E-3</v>
      </c>
      <c r="E20" s="37" t="s">
        <v>27</v>
      </c>
      <c r="F20" s="6">
        <f t="shared" si="3"/>
        <v>960</v>
      </c>
      <c r="G20" s="52">
        <f t="shared" si="4"/>
        <v>1476.9230769230769</v>
      </c>
      <c r="J20" t="s">
        <v>30</v>
      </c>
    </row>
    <row r="21" spans="2:10" x14ac:dyDescent="0.2">
      <c r="B21" s="12">
        <f>45*60*0.006</f>
        <v>16.2</v>
      </c>
      <c r="C21" s="37" t="s">
        <v>25</v>
      </c>
      <c r="D21" s="7">
        <v>5.0000000000000001E-3</v>
      </c>
      <c r="E21" s="37" t="s">
        <v>27</v>
      </c>
      <c r="F21" s="6">
        <f t="shared" si="3"/>
        <v>648</v>
      </c>
      <c r="G21" s="52">
        <f t="shared" si="4"/>
        <v>996.92307692307691</v>
      </c>
      <c r="J21" t="s">
        <v>31</v>
      </c>
    </row>
    <row r="22" spans="2:10" x14ac:dyDescent="0.2">
      <c r="J22" t="s">
        <v>9</v>
      </c>
    </row>
  </sheetData>
  <mergeCells count="2">
    <mergeCell ref="B2:F2"/>
    <mergeCell ref="I2:M2"/>
  </mergeCells>
  <dataValidations count="2">
    <dataValidation type="list" allowBlank="1" showInputMessage="1" showErrorMessage="1" sqref="I4" xr:uid="{00000000-0002-0000-0100-000000000000}">
      <formula1>$B$4:$B$13</formula1>
    </dataValidation>
    <dataValidation type="list" allowBlank="1" showInputMessage="1" showErrorMessage="1" sqref="I5" xr:uid="{00000000-0002-0000-0100-000001000000}">
      <formula1>$B$15:$B$21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fitToPage="1"/>
  </sheetPr>
  <dimension ref="B1:AC40"/>
  <sheetViews>
    <sheetView tabSelected="1" topLeftCell="C1" zoomScaleNormal="100" zoomScaleSheetLayoutView="100" workbookViewId="0">
      <selection activeCell="J12" sqref="J12"/>
    </sheetView>
  </sheetViews>
  <sheetFormatPr defaultRowHeight="15" x14ac:dyDescent="0.2"/>
  <cols>
    <col min="1" max="1" width="3.09375" customWidth="1"/>
    <col min="2" max="2" width="11.703125" customWidth="1"/>
    <col min="3" max="3" width="9.55078125" style="1" customWidth="1"/>
    <col min="4" max="4" width="12.10546875" style="1" bestFit="1" customWidth="1"/>
    <col min="5" max="5" width="14.796875" style="1" bestFit="1" customWidth="1"/>
    <col min="6" max="6" width="13.44921875" style="1" customWidth="1"/>
    <col min="7" max="7" width="13.31640625" style="22" customWidth="1"/>
    <col min="8" max="8" width="6.9921875" style="1" customWidth="1"/>
    <col min="9" max="9" width="11.8359375" bestFit="1" customWidth="1"/>
    <col min="10" max="10" width="13.046875" style="8" bestFit="1" customWidth="1"/>
    <col min="11" max="11" width="11.703125" style="1" customWidth="1"/>
    <col min="12" max="12" width="13.98828125" style="1" customWidth="1"/>
    <col min="13" max="13" width="13.5859375" style="1" customWidth="1"/>
    <col min="14" max="14" width="11.296875" style="1" customWidth="1"/>
    <col min="15" max="15" width="9.14453125" style="1" customWidth="1"/>
    <col min="16" max="17" width="11.8359375" customWidth="1"/>
    <col min="18" max="18" width="12.5078125" customWidth="1"/>
    <col min="19" max="19" width="11.703125" customWidth="1"/>
    <col min="20" max="20" width="8.875" customWidth="1"/>
    <col min="21" max="21" width="12.5078125" customWidth="1"/>
    <col min="22" max="22" width="14.390625" customWidth="1"/>
    <col min="23" max="23" width="14.9296875" customWidth="1"/>
    <col min="24" max="24" width="15.46875" customWidth="1"/>
    <col min="25" max="25" width="8.47265625" customWidth="1"/>
    <col min="26" max="26" width="11.56640625" customWidth="1"/>
    <col min="27" max="27" width="13.1796875" customWidth="1"/>
    <col min="28" max="28" width="14.2578125" customWidth="1"/>
    <col min="29" max="29" width="13.98828125" customWidth="1"/>
    <col min="31" max="31" width="10.22265625" customWidth="1"/>
  </cols>
  <sheetData>
    <row r="1" spans="2:29" ht="11.25" customHeight="1" thickBot="1" x14ac:dyDescent="0.25"/>
    <row r="2" spans="2:29" ht="21" customHeight="1" x14ac:dyDescent="0.2">
      <c r="B2" s="78" t="s">
        <v>32</v>
      </c>
      <c r="C2" s="81" t="s">
        <v>74</v>
      </c>
      <c r="D2" s="82"/>
      <c r="E2" s="65" t="s">
        <v>77</v>
      </c>
      <c r="F2" s="64">
        <f>VLOOKUP(E2,K30:L33,2,0)</f>
        <v>40</v>
      </c>
      <c r="G2" s="67"/>
      <c r="H2" s="80" t="s">
        <v>21</v>
      </c>
      <c r="I2" s="73" t="s">
        <v>33</v>
      </c>
      <c r="J2" s="74" t="s">
        <v>34</v>
      </c>
      <c r="K2" s="89" t="s">
        <v>35</v>
      </c>
      <c r="L2" s="89" t="s">
        <v>36</v>
      </c>
      <c r="M2" s="89" t="s">
        <v>37</v>
      </c>
      <c r="N2" s="91" t="s">
        <v>32</v>
      </c>
      <c r="O2" s="15"/>
      <c r="P2" s="90" t="s">
        <v>38</v>
      </c>
      <c r="Q2" s="90" t="s">
        <v>39</v>
      </c>
      <c r="R2" s="90" t="s">
        <v>40</v>
      </c>
      <c r="S2" s="90" t="s">
        <v>41</v>
      </c>
      <c r="T2" s="38"/>
      <c r="U2" s="76" t="s">
        <v>42</v>
      </c>
      <c r="V2" s="76" t="s">
        <v>43</v>
      </c>
      <c r="W2" s="76" t="s">
        <v>44</v>
      </c>
      <c r="X2" s="76" t="s">
        <v>45</v>
      </c>
      <c r="Y2" s="86" t="s">
        <v>46</v>
      </c>
      <c r="Z2" s="75" t="s">
        <v>47</v>
      </c>
      <c r="AA2" s="75" t="s">
        <v>48</v>
      </c>
      <c r="AB2" s="75" t="s">
        <v>49</v>
      </c>
      <c r="AC2" s="75" t="s">
        <v>50</v>
      </c>
    </row>
    <row r="3" spans="2:29" ht="24.75" customHeight="1" x14ac:dyDescent="0.2">
      <c r="B3" s="78"/>
      <c r="C3" s="66"/>
      <c r="D3" s="66"/>
      <c r="E3" s="66"/>
      <c r="F3" s="66"/>
      <c r="G3" s="66"/>
      <c r="H3" s="80"/>
      <c r="I3" s="73"/>
      <c r="J3" s="74"/>
      <c r="K3" s="89"/>
      <c r="L3" s="89"/>
      <c r="M3" s="89"/>
      <c r="N3" s="92"/>
      <c r="O3" s="15"/>
      <c r="P3" s="90"/>
      <c r="Q3" s="90"/>
      <c r="R3" s="90"/>
      <c r="S3" s="90"/>
      <c r="T3" s="38"/>
      <c r="U3" s="76"/>
      <c r="V3" s="76"/>
      <c r="W3" s="76"/>
      <c r="X3" s="76"/>
      <c r="Y3" s="87"/>
      <c r="Z3" s="75"/>
      <c r="AA3" s="75"/>
      <c r="AB3" s="75"/>
      <c r="AC3" s="75"/>
    </row>
    <row r="4" spans="2:29" ht="20.25" customHeight="1" x14ac:dyDescent="0.2">
      <c r="B4" s="78"/>
      <c r="C4" s="24" t="s">
        <v>19</v>
      </c>
      <c r="D4" s="27" t="s">
        <v>13</v>
      </c>
      <c r="E4" s="29" t="s">
        <v>14</v>
      </c>
      <c r="F4" s="28" t="s">
        <v>15</v>
      </c>
      <c r="G4" s="30" t="s">
        <v>16</v>
      </c>
      <c r="H4" s="80"/>
      <c r="I4" s="73"/>
      <c r="J4" s="74"/>
      <c r="K4" s="89"/>
      <c r="L4" s="89"/>
      <c r="M4" s="89"/>
      <c r="N4" s="92"/>
      <c r="O4" s="15"/>
      <c r="P4" s="90"/>
      <c r="Q4" s="90"/>
      <c r="R4" s="90"/>
      <c r="S4" s="90"/>
      <c r="T4" s="38"/>
      <c r="U4" s="76"/>
      <c r="V4" s="76"/>
      <c r="W4" s="76"/>
      <c r="X4" s="76"/>
      <c r="Y4" s="88"/>
      <c r="Z4" s="75"/>
      <c r="AA4" s="75"/>
      <c r="AB4" s="75"/>
      <c r="AC4" s="75"/>
    </row>
    <row r="5" spans="2:29" x14ac:dyDescent="0.2">
      <c r="B5" s="78"/>
      <c r="C5" s="25" t="s">
        <v>94</v>
      </c>
      <c r="D5" s="26">
        <f>Plan1!$C$10+Plan2!G4</f>
        <v>452.75128205128203</v>
      </c>
      <c r="E5" s="26">
        <f>Plan1!$C$11+Plan2!G4</f>
        <v>621.31794871794864</v>
      </c>
      <c r="F5" s="26">
        <f>Plan1!$C$12+Plan2!G4</f>
        <v>793.88461538461547</v>
      </c>
      <c r="G5" s="32">
        <f>Plan1!$C$13+Plan2!G4</f>
        <v>966.45128205128208</v>
      </c>
      <c r="H5" s="34">
        <v>0.01</v>
      </c>
      <c r="I5" s="25" t="s">
        <v>70</v>
      </c>
      <c r="J5" s="31">
        <f>D5/1.6</f>
        <v>282.96955128205127</v>
      </c>
      <c r="K5" s="31">
        <f>E5/1.6</f>
        <v>388.3237179487179</v>
      </c>
      <c r="L5" s="31">
        <f t="shared" ref="L5:L22" si="0">F5/1.6</f>
        <v>496.17788461538464</v>
      </c>
      <c r="M5" s="31">
        <f t="shared" ref="M5:M22" si="1">G5/1.6</f>
        <v>604.03205128205127</v>
      </c>
      <c r="N5" s="92"/>
      <c r="O5" s="25" t="s">
        <v>70</v>
      </c>
      <c r="P5" s="14">
        <f t="shared" ref="P5:P22" si="2">J5/1.6</f>
        <v>176.85596955128204</v>
      </c>
      <c r="Q5" s="14">
        <f t="shared" ref="Q5:Q22" si="3">K5/1.6</f>
        <v>242.70232371794867</v>
      </c>
      <c r="R5" s="14">
        <f t="shared" ref="R5:R22" si="4">L5/1.6</f>
        <v>310.11117788461536</v>
      </c>
      <c r="S5" s="14">
        <f t="shared" ref="S5:S22" si="5">M5/1.6</f>
        <v>377.52003205128204</v>
      </c>
      <c r="T5" s="25" t="s">
        <v>70</v>
      </c>
      <c r="U5" s="14">
        <f t="shared" ref="U5:U22" si="6">P5/1.6</f>
        <v>110.53498096955127</v>
      </c>
      <c r="V5" s="14">
        <f t="shared" ref="V5:V22" si="7">Q5/1.6</f>
        <v>151.6889523237179</v>
      </c>
      <c r="W5" s="14">
        <f t="shared" ref="W5:W22" si="8">R5/1.6</f>
        <v>193.81948617788458</v>
      </c>
      <c r="X5" s="14">
        <f t="shared" ref="X5:X22" si="9">S5/1.6</f>
        <v>235.95002003205127</v>
      </c>
      <c r="Y5" s="20">
        <v>0.01</v>
      </c>
      <c r="Z5" s="6">
        <f t="shared" ref="Z5:Z22" si="10">U5/1.6</f>
        <v>69.084363105969544</v>
      </c>
      <c r="AA5" s="14">
        <f t="shared" ref="AA5:AA22" si="11">V5/1.6</f>
        <v>94.805595202323687</v>
      </c>
      <c r="AB5" s="14">
        <f t="shared" ref="AB5:AB22" si="12">W5/1.6</f>
        <v>121.13717886117786</v>
      </c>
      <c r="AC5" s="14">
        <f t="shared" ref="AC5:AC22" si="13">X5/1.6</f>
        <v>147.46876252003204</v>
      </c>
    </row>
    <row r="6" spans="2:29" x14ac:dyDescent="0.2">
      <c r="B6" s="78"/>
      <c r="C6" s="25" t="s">
        <v>78</v>
      </c>
      <c r="D6" s="26">
        <f>Plan1!$C$10+Plan2!G5</f>
        <v>407.33589743589744</v>
      </c>
      <c r="E6" s="26">
        <f>Plan1!$C$11+Plan2!G5</f>
        <v>575.90256410256416</v>
      </c>
      <c r="F6" s="26">
        <f>Plan1!$C$12+Plan2!G5</f>
        <v>748.46923076923076</v>
      </c>
      <c r="G6" s="32">
        <f>Plan1!$C$13+Plan2!G5</f>
        <v>921.03589743589737</v>
      </c>
      <c r="H6" s="34">
        <v>0.01</v>
      </c>
      <c r="I6" s="25" t="s">
        <v>78</v>
      </c>
      <c r="J6" s="31">
        <f t="shared" ref="J6:J22" si="14">D6/1.6</f>
        <v>254.58493589743588</v>
      </c>
      <c r="K6" s="31">
        <f t="shared" ref="K6:K22" si="15">E6/1.6</f>
        <v>359.9391025641026</v>
      </c>
      <c r="L6" s="31">
        <f t="shared" si="0"/>
        <v>467.79326923076923</v>
      </c>
      <c r="M6" s="31">
        <f t="shared" si="1"/>
        <v>575.6474358974358</v>
      </c>
      <c r="N6" s="92"/>
      <c r="O6" s="25" t="s">
        <v>78</v>
      </c>
      <c r="P6" s="14">
        <f t="shared" si="2"/>
        <v>159.11558493589743</v>
      </c>
      <c r="Q6" s="14">
        <f t="shared" si="3"/>
        <v>224.96193910256412</v>
      </c>
      <c r="R6" s="14">
        <f t="shared" si="4"/>
        <v>292.37079326923077</v>
      </c>
      <c r="S6" s="14">
        <f t="shared" si="5"/>
        <v>359.77964743589735</v>
      </c>
      <c r="T6" s="25" t="s">
        <v>78</v>
      </c>
      <c r="U6" s="14">
        <f t="shared" si="6"/>
        <v>99.447240584935884</v>
      </c>
      <c r="V6" s="14">
        <f t="shared" si="7"/>
        <v>140.60121193910257</v>
      </c>
      <c r="W6" s="14">
        <f t="shared" si="8"/>
        <v>182.73174579326923</v>
      </c>
      <c r="X6" s="14">
        <f t="shared" si="9"/>
        <v>224.86227964743583</v>
      </c>
      <c r="Y6" s="20">
        <v>0.01</v>
      </c>
      <c r="Z6" s="6">
        <f t="shared" si="10"/>
        <v>62.154525365584924</v>
      </c>
      <c r="AA6" s="14">
        <f t="shared" si="11"/>
        <v>87.875757461939102</v>
      </c>
      <c r="AB6" s="14">
        <f t="shared" si="12"/>
        <v>114.20734112079326</v>
      </c>
      <c r="AC6" s="14">
        <f t="shared" si="13"/>
        <v>140.53892477964737</v>
      </c>
    </row>
    <row r="7" spans="2:29" x14ac:dyDescent="0.2">
      <c r="B7" s="78"/>
      <c r="C7" s="25" t="s">
        <v>79</v>
      </c>
      <c r="D7" s="26">
        <f>Plan1!$C$10+Plan2!G6</f>
        <v>545.79743589743589</v>
      </c>
      <c r="E7" s="26">
        <f>Plan1!$C$11+Plan2!G6</f>
        <v>714.3641025641025</v>
      </c>
      <c r="F7" s="26">
        <f>Plan1!$C$12+Plan2!G6</f>
        <v>886.93076923076933</v>
      </c>
      <c r="G7" s="32">
        <f>Plan1!$C$13+Plan2!G6</f>
        <v>1059.4974358974359</v>
      </c>
      <c r="H7" s="34">
        <v>0.01</v>
      </c>
      <c r="I7" s="25" t="s">
        <v>79</v>
      </c>
      <c r="J7" s="31">
        <f t="shared" si="14"/>
        <v>341.1233974358974</v>
      </c>
      <c r="K7" s="31">
        <f t="shared" si="15"/>
        <v>446.47756410256403</v>
      </c>
      <c r="L7" s="31">
        <f t="shared" si="0"/>
        <v>554.33173076923083</v>
      </c>
      <c r="M7" s="31">
        <f t="shared" si="1"/>
        <v>662.18589743589746</v>
      </c>
      <c r="N7" s="92"/>
      <c r="O7" s="25" t="s">
        <v>79</v>
      </c>
      <c r="P7" s="14">
        <f t="shared" si="2"/>
        <v>213.20212339743586</v>
      </c>
      <c r="Q7" s="14">
        <f t="shared" si="3"/>
        <v>279.04847756410248</v>
      </c>
      <c r="R7" s="14">
        <f t="shared" si="4"/>
        <v>346.45733173076923</v>
      </c>
      <c r="S7" s="14">
        <f t="shared" si="5"/>
        <v>413.86618589743591</v>
      </c>
      <c r="T7" s="25" t="s">
        <v>79</v>
      </c>
      <c r="U7" s="14">
        <f t="shared" si="6"/>
        <v>133.2513271233974</v>
      </c>
      <c r="V7" s="14">
        <f t="shared" si="7"/>
        <v>174.40529847756403</v>
      </c>
      <c r="W7" s="14">
        <f t="shared" si="8"/>
        <v>216.53583233173075</v>
      </c>
      <c r="X7" s="14">
        <f t="shared" si="9"/>
        <v>258.6663661858974</v>
      </c>
      <c r="Y7" s="20">
        <v>0.01</v>
      </c>
      <c r="Z7" s="6">
        <f t="shared" si="10"/>
        <v>83.282079452123369</v>
      </c>
      <c r="AA7" s="14">
        <f t="shared" si="11"/>
        <v>109.00331154847751</v>
      </c>
      <c r="AB7" s="14">
        <f t="shared" si="12"/>
        <v>135.3348952073317</v>
      </c>
      <c r="AC7" s="14">
        <f t="shared" si="13"/>
        <v>161.66647886618586</v>
      </c>
    </row>
    <row r="8" spans="2:29" x14ac:dyDescent="0.2">
      <c r="B8" s="78"/>
      <c r="C8" s="25" t="s">
        <v>80</v>
      </c>
      <c r="D8" s="26">
        <f>Plan1!$C$10+Plan2!G7</f>
        <v>715.02820512820517</v>
      </c>
      <c r="E8" s="26">
        <f>Plan1!$C$11+Plan2!G7</f>
        <v>883.59487179487178</v>
      </c>
      <c r="F8" s="26">
        <f>Plan1!$C$12+Plan2!G7</f>
        <v>1056.1615384615384</v>
      </c>
      <c r="G8" s="32">
        <f>Plan1!$C$13+Plan2!G7</f>
        <v>1228.728205128205</v>
      </c>
      <c r="H8" s="34">
        <v>0.01</v>
      </c>
      <c r="I8" s="25" t="s">
        <v>80</v>
      </c>
      <c r="J8" s="31">
        <f t="shared" si="14"/>
        <v>446.89262820512823</v>
      </c>
      <c r="K8" s="31">
        <f t="shared" si="15"/>
        <v>552.2467948717948</v>
      </c>
      <c r="L8" s="31">
        <f t="shared" si="0"/>
        <v>660.10096153846143</v>
      </c>
      <c r="M8" s="31">
        <f t="shared" si="1"/>
        <v>767.95512820512806</v>
      </c>
      <c r="N8" s="92"/>
      <c r="O8" s="25" t="s">
        <v>80</v>
      </c>
      <c r="P8" s="14">
        <f t="shared" si="2"/>
        <v>279.30789262820514</v>
      </c>
      <c r="Q8" s="14">
        <f t="shared" si="3"/>
        <v>345.15424679487171</v>
      </c>
      <c r="R8" s="14">
        <f t="shared" si="4"/>
        <v>412.5631009615384</v>
      </c>
      <c r="S8" s="14">
        <f t="shared" si="5"/>
        <v>479.97195512820502</v>
      </c>
      <c r="T8" s="25" t="s">
        <v>80</v>
      </c>
      <c r="U8" s="14">
        <f t="shared" si="6"/>
        <v>174.5674328926282</v>
      </c>
      <c r="V8" s="14">
        <f t="shared" si="7"/>
        <v>215.7214042467948</v>
      </c>
      <c r="W8" s="14">
        <f t="shared" si="8"/>
        <v>257.85193810096149</v>
      </c>
      <c r="X8" s="14">
        <f t="shared" si="9"/>
        <v>299.98247195512812</v>
      </c>
      <c r="Y8" s="20">
        <v>0.01</v>
      </c>
      <c r="Z8" s="6">
        <f t="shared" si="10"/>
        <v>109.10464555789262</v>
      </c>
      <c r="AA8" s="14">
        <f t="shared" si="11"/>
        <v>134.82587765424674</v>
      </c>
      <c r="AB8" s="14">
        <f t="shared" si="12"/>
        <v>161.15746131310092</v>
      </c>
      <c r="AC8" s="14">
        <f t="shared" si="13"/>
        <v>187.48904497195505</v>
      </c>
    </row>
    <row r="9" spans="2:29" x14ac:dyDescent="0.2">
      <c r="B9" s="78"/>
      <c r="C9" s="25" t="s">
        <v>81</v>
      </c>
      <c r="D9" s="26">
        <f>Plan1!$C$10+Plan2!G8</f>
        <v>988.87435897435898</v>
      </c>
      <c r="E9" s="26">
        <f>Plan1!$C$11+Plan2!G8</f>
        <v>1157.4410256410256</v>
      </c>
      <c r="F9" s="26">
        <f>Plan1!$C$12+Plan2!G8</f>
        <v>1330.0076923076922</v>
      </c>
      <c r="G9" s="32">
        <f>Plan1!$C$13+Plan2!G8</f>
        <v>1502.5743589743588</v>
      </c>
      <c r="H9" s="34">
        <v>0.01</v>
      </c>
      <c r="I9" s="25" t="s">
        <v>81</v>
      </c>
      <c r="J9" s="31">
        <f t="shared" si="14"/>
        <v>618.04647435897436</v>
      </c>
      <c r="K9" s="31">
        <f t="shared" si="15"/>
        <v>723.40064102564099</v>
      </c>
      <c r="L9" s="31">
        <f t="shared" si="0"/>
        <v>831.25480769230762</v>
      </c>
      <c r="M9" s="31">
        <f t="shared" si="1"/>
        <v>939.10897435897425</v>
      </c>
      <c r="N9" s="92"/>
      <c r="O9" s="25" t="s">
        <v>81</v>
      </c>
      <c r="P9" s="14">
        <f t="shared" si="2"/>
        <v>386.27904647435895</v>
      </c>
      <c r="Q9" s="14">
        <f t="shared" si="3"/>
        <v>452.12540064102558</v>
      </c>
      <c r="R9" s="14">
        <f t="shared" si="4"/>
        <v>519.53425480769226</v>
      </c>
      <c r="S9" s="14">
        <f t="shared" si="5"/>
        <v>586.94310897435889</v>
      </c>
      <c r="T9" s="25" t="s">
        <v>81</v>
      </c>
      <c r="U9" s="14">
        <f t="shared" si="6"/>
        <v>241.42440404647434</v>
      </c>
      <c r="V9" s="14">
        <f t="shared" si="7"/>
        <v>282.57837540064099</v>
      </c>
      <c r="W9" s="14">
        <f t="shared" si="8"/>
        <v>324.70890925480762</v>
      </c>
      <c r="X9" s="14">
        <f t="shared" si="9"/>
        <v>366.83944310897431</v>
      </c>
      <c r="Y9" s="20">
        <v>0.01</v>
      </c>
      <c r="Z9" s="6">
        <f t="shared" si="10"/>
        <v>150.89025252904645</v>
      </c>
      <c r="AA9" s="14">
        <f t="shared" si="11"/>
        <v>176.61148462540061</v>
      </c>
      <c r="AB9" s="14">
        <f t="shared" si="12"/>
        <v>202.94306828425476</v>
      </c>
      <c r="AC9" s="14">
        <f t="shared" si="13"/>
        <v>229.27465194310892</v>
      </c>
    </row>
    <row r="10" spans="2:29" x14ac:dyDescent="0.2">
      <c r="B10" s="78"/>
      <c r="C10" s="25" t="s">
        <v>89</v>
      </c>
      <c r="D10" s="26">
        <f>Plan1!$C$10+Plan2!G9</f>
        <v>1007.3358974358973</v>
      </c>
      <c r="E10" s="26">
        <f>Plan1!$C$11+Plan2!G9</f>
        <v>1175.9025641025642</v>
      </c>
      <c r="F10" s="26">
        <f>Plan1!$C$12+Plan2!G9</f>
        <v>1348.4692307692308</v>
      </c>
      <c r="G10" s="32">
        <f>Plan1!$C$13+Plan2!G9</f>
        <v>1521.0358974358974</v>
      </c>
      <c r="H10" s="34">
        <v>0.01</v>
      </c>
      <c r="I10" s="25" t="s">
        <v>86</v>
      </c>
      <c r="J10" s="31">
        <f t="shared" si="14"/>
        <v>629.5849358974358</v>
      </c>
      <c r="K10" s="31">
        <f t="shared" si="15"/>
        <v>734.93910256410254</v>
      </c>
      <c r="L10" s="31">
        <f t="shared" si="0"/>
        <v>842.79326923076917</v>
      </c>
      <c r="M10" s="31">
        <f t="shared" si="1"/>
        <v>950.6474358974358</v>
      </c>
      <c r="N10" s="92"/>
      <c r="O10" s="25" t="s">
        <v>86</v>
      </c>
      <c r="P10" s="14">
        <f t="shared" si="2"/>
        <v>393.49058493589735</v>
      </c>
      <c r="Q10" s="14">
        <f t="shared" si="3"/>
        <v>459.33693910256409</v>
      </c>
      <c r="R10" s="14">
        <f t="shared" si="4"/>
        <v>526.74579326923072</v>
      </c>
      <c r="S10" s="14">
        <f t="shared" si="5"/>
        <v>594.15464743589735</v>
      </c>
      <c r="T10" s="25" t="s">
        <v>82</v>
      </c>
      <c r="U10" s="14">
        <f t="shared" si="6"/>
        <v>245.93161558493583</v>
      </c>
      <c r="V10" s="14">
        <f t="shared" si="7"/>
        <v>287.08558693910254</v>
      </c>
      <c r="W10" s="14">
        <f t="shared" si="8"/>
        <v>329.21612079326917</v>
      </c>
      <c r="X10" s="14">
        <f t="shared" si="9"/>
        <v>371.3466546474358</v>
      </c>
      <c r="Y10" s="20">
        <v>0.01</v>
      </c>
      <c r="Z10" s="6">
        <f t="shared" si="10"/>
        <v>153.70725974058487</v>
      </c>
      <c r="AA10" s="14">
        <f t="shared" si="11"/>
        <v>179.42849183693909</v>
      </c>
      <c r="AB10" s="14">
        <f t="shared" si="12"/>
        <v>205.76007549579322</v>
      </c>
      <c r="AC10" s="14">
        <f t="shared" si="13"/>
        <v>232.09165915464737</v>
      </c>
    </row>
    <row r="11" spans="2:29" x14ac:dyDescent="0.2">
      <c r="B11" s="78"/>
      <c r="C11" s="25" t="s">
        <v>62</v>
      </c>
      <c r="D11" s="26">
        <f>Plan1!$C$10+Plan2!G10</f>
        <v>1253.4897435897435</v>
      </c>
      <c r="E11" s="26">
        <f>Plan1!$C$11+Plan2!G10</f>
        <v>1422.0564102564103</v>
      </c>
      <c r="F11" s="26">
        <f>Plan1!$C$12+Plan2!G10</f>
        <v>1594.623076923077</v>
      </c>
      <c r="G11" s="32">
        <f>Plan1!$C$13+Plan2!G10</f>
        <v>1767.1897435897436</v>
      </c>
      <c r="H11" s="34">
        <v>0.01</v>
      </c>
      <c r="I11" s="25" t="s">
        <v>62</v>
      </c>
      <c r="J11" s="31">
        <f t="shared" si="14"/>
        <v>783.43108974358961</v>
      </c>
      <c r="K11" s="31">
        <f t="shared" si="15"/>
        <v>888.78525641025647</v>
      </c>
      <c r="L11" s="31">
        <f t="shared" si="0"/>
        <v>996.63942307692309</v>
      </c>
      <c r="M11" s="31">
        <f t="shared" si="1"/>
        <v>1104.4935897435896</v>
      </c>
      <c r="N11" s="92"/>
      <c r="O11" s="25" t="s">
        <v>62</v>
      </c>
      <c r="P11" s="14">
        <f t="shared" si="2"/>
        <v>489.64443108974348</v>
      </c>
      <c r="Q11" s="14">
        <f t="shared" si="3"/>
        <v>555.49078525641028</v>
      </c>
      <c r="R11" s="14">
        <f t="shared" si="4"/>
        <v>622.89963942307691</v>
      </c>
      <c r="S11" s="14">
        <f t="shared" si="5"/>
        <v>690.30849358974342</v>
      </c>
      <c r="T11" s="25" t="s">
        <v>83</v>
      </c>
      <c r="U11" s="14">
        <f t="shared" si="6"/>
        <v>306.02776943108967</v>
      </c>
      <c r="V11" s="14">
        <f t="shared" si="7"/>
        <v>347.18174078525641</v>
      </c>
      <c r="W11" s="14">
        <f t="shared" si="8"/>
        <v>389.31227463942304</v>
      </c>
      <c r="X11" s="14">
        <f t="shared" si="9"/>
        <v>431.44280849358961</v>
      </c>
      <c r="Y11" s="20">
        <v>0.01</v>
      </c>
      <c r="Z11" s="6">
        <f t="shared" si="10"/>
        <v>191.26735589443103</v>
      </c>
      <c r="AA11" s="14">
        <f t="shared" si="11"/>
        <v>216.98858799078525</v>
      </c>
      <c r="AB11" s="14">
        <f t="shared" si="12"/>
        <v>243.32017164963938</v>
      </c>
      <c r="AC11" s="14">
        <f t="shared" si="13"/>
        <v>269.65175530849348</v>
      </c>
    </row>
    <row r="12" spans="2:29" x14ac:dyDescent="0.2">
      <c r="B12" s="78"/>
      <c r="C12" s="25" t="s">
        <v>83</v>
      </c>
      <c r="D12" s="26">
        <f>Plan1!$C$10+Plan2!G11</f>
        <v>1407.3358974358973</v>
      </c>
      <c r="E12" s="26">
        <f>Plan1!$C$11+Plan2!G11</f>
        <v>1575.9025641025642</v>
      </c>
      <c r="F12" s="26">
        <f>Plan1!$C$12+Plan2!G11</f>
        <v>1748.4692307692308</v>
      </c>
      <c r="G12" s="32">
        <f>Plan1!$C$13+Plan2!G11</f>
        <v>1921.0358974358974</v>
      </c>
      <c r="H12" s="34">
        <v>0.01</v>
      </c>
      <c r="I12" s="25" t="s">
        <v>83</v>
      </c>
      <c r="J12" s="31">
        <f t="shared" si="14"/>
        <v>879.5849358974358</v>
      </c>
      <c r="K12" s="31">
        <f t="shared" si="15"/>
        <v>984.93910256410254</v>
      </c>
      <c r="L12" s="31">
        <f t="shared" si="0"/>
        <v>1092.7932692307691</v>
      </c>
      <c r="M12" s="31">
        <f t="shared" si="1"/>
        <v>1200.6474358974358</v>
      </c>
      <c r="N12" s="92"/>
      <c r="O12" s="25" t="s">
        <v>83</v>
      </c>
      <c r="P12" s="14">
        <f t="shared" si="2"/>
        <v>549.74058493589735</v>
      </c>
      <c r="Q12" s="14">
        <f t="shared" si="3"/>
        <v>615.58693910256409</v>
      </c>
      <c r="R12" s="14">
        <f t="shared" si="4"/>
        <v>682.9957932692306</v>
      </c>
      <c r="S12" s="14">
        <f t="shared" si="5"/>
        <v>750.40464743589735</v>
      </c>
      <c r="T12" s="25" t="s">
        <v>84</v>
      </c>
      <c r="U12" s="14">
        <f t="shared" si="6"/>
        <v>343.5878655849358</v>
      </c>
      <c r="V12" s="14">
        <f t="shared" si="7"/>
        <v>384.74183693910254</v>
      </c>
      <c r="W12" s="14">
        <f t="shared" si="8"/>
        <v>426.87237079326911</v>
      </c>
      <c r="X12" s="14">
        <f t="shared" si="9"/>
        <v>469.0029046474358</v>
      </c>
      <c r="Y12" s="20">
        <v>0.01</v>
      </c>
      <c r="Z12" s="6">
        <f t="shared" si="10"/>
        <v>214.74241599058487</v>
      </c>
      <c r="AA12" s="14">
        <f t="shared" si="11"/>
        <v>240.46364808693909</v>
      </c>
      <c r="AB12" s="14">
        <f t="shared" si="12"/>
        <v>266.79523174579316</v>
      </c>
      <c r="AC12" s="14">
        <f t="shared" si="13"/>
        <v>293.12681540464735</v>
      </c>
    </row>
    <row r="13" spans="2:29" ht="15.75" thickBot="1" x14ac:dyDescent="0.25">
      <c r="B13" s="78"/>
      <c r="C13" s="25" t="s">
        <v>84</v>
      </c>
      <c r="D13" s="26">
        <f>Plan1!$C$10+Plan2!G12</f>
        <v>1653.4897435897435</v>
      </c>
      <c r="E13" s="26">
        <f>Plan1!$C$11+Plan2!G12</f>
        <v>1822.0564102564103</v>
      </c>
      <c r="F13" s="26">
        <f>Plan1!$C$12+Plan2!G12</f>
        <v>1994.623076923077</v>
      </c>
      <c r="G13" s="32">
        <f>Plan1!$C$13+Plan2!G12</f>
        <v>2167.1897435897436</v>
      </c>
      <c r="H13" s="34">
        <v>0.01</v>
      </c>
      <c r="I13" s="25" t="s">
        <v>84</v>
      </c>
      <c r="J13" s="31">
        <f t="shared" si="14"/>
        <v>1033.4310897435896</v>
      </c>
      <c r="K13" s="31">
        <f t="shared" si="15"/>
        <v>1138.7852564102564</v>
      </c>
      <c r="L13" s="31">
        <f t="shared" si="0"/>
        <v>1246.6394230769231</v>
      </c>
      <c r="M13" s="31">
        <f t="shared" si="1"/>
        <v>1354.4935897435896</v>
      </c>
      <c r="N13" s="93"/>
      <c r="O13" s="25" t="s">
        <v>84</v>
      </c>
      <c r="P13" s="14">
        <f t="shared" si="2"/>
        <v>645.89443108974342</v>
      </c>
      <c r="Q13" s="14">
        <f t="shared" si="3"/>
        <v>711.74078525641016</v>
      </c>
      <c r="R13" s="14">
        <f t="shared" si="4"/>
        <v>779.14963942307691</v>
      </c>
      <c r="S13" s="14">
        <f t="shared" si="5"/>
        <v>846.55849358974342</v>
      </c>
      <c r="T13" s="25" t="s">
        <v>85</v>
      </c>
      <c r="U13" s="14">
        <f t="shared" si="6"/>
        <v>403.68401943108961</v>
      </c>
      <c r="V13" s="14">
        <f t="shared" si="7"/>
        <v>444.83799078525635</v>
      </c>
      <c r="W13" s="14">
        <f t="shared" si="8"/>
        <v>486.96852463942304</v>
      </c>
      <c r="X13" s="14">
        <f t="shared" si="9"/>
        <v>529.09905849358961</v>
      </c>
      <c r="Y13" s="20">
        <v>0.01</v>
      </c>
      <c r="Z13" s="6">
        <f t="shared" si="10"/>
        <v>252.30251214443101</v>
      </c>
      <c r="AA13" s="14">
        <f t="shared" si="11"/>
        <v>278.02374424078522</v>
      </c>
      <c r="AB13" s="14">
        <f t="shared" si="12"/>
        <v>304.35532789963941</v>
      </c>
      <c r="AC13" s="14">
        <f t="shared" si="13"/>
        <v>330.68691155849348</v>
      </c>
    </row>
    <row r="14" spans="2:29" x14ac:dyDescent="0.2">
      <c r="C14" s="25" t="s">
        <v>87</v>
      </c>
      <c r="D14" s="26">
        <f>Plan1!$C$10+Plan2!G13</f>
        <v>1838.105128205128</v>
      </c>
      <c r="E14" s="39">
        <f>Plan1!$C$11+Plan2!G13</f>
        <v>2006.6717948717946</v>
      </c>
      <c r="F14" s="26">
        <f>Plan1!$C$12+Plan2!G13</f>
        <v>2179.2384615384617</v>
      </c>
      <c r="G14" s="32">
        <f>Plan1!$C$13+Plan2!G13</f>
        <v>2351.8051282051283</v>
      </c>
      <c r="H14" s="25"/>
      <c r="I14" s="25" t="s">
        <v>87</v>
      </c>
      <c r="J14" s="31">
        <f t="shared" si="14"/>
        <v>1148.8157051282049</v>
      </c>
      <c r="K14" s="31">
        <f t="shared" si="15"/>
        <v>1254.1698717948716</v>
      </c>
      <c r="L14" s="31">
        <f t="shared" si="0"/>
        <v>1362.0240384615386</v>
      </c>
      <c r="M14" s="31">
        <f t="shared" si="1"/>
        <v>1469.8782051282051</v>
      </c>
      <c r="N14"/>
      <c r="O14" s="25" t="s">
        <v>87</v>
      </c>
      <c r="P14" s="14">
        <f t="shared" si="2"/>
        <v>718.00981570512795</v>
      </c>
      <c r="Q14" s="14">
        <f t="shared" si="3"/>
        <v>783.85616987179469</v>
      </c>
      <c r="R14" s="14">
        <f t="shared" si="4"/>
        <v>851.26502403846155</v>
      </c>
      <c r="S14" s="14">
        <f t="shared" si="5"/>
        <v>918.67387820512818</v>
      </c>
      <c r="T14" s="18"/>
      <c r="U14" s="14">
        <f t="shared" si="6"/>
        <v>448.75613481570497</v>
      </c>
      <c r="V14" s="14">
        <f t="shared" si="7"/>
        <v>489.91010616987165</v>
      </c>
      <c r="W14" s="14">
        <f t="shared" si="8"/>
        <v>532.04064002403845</v>
      </c>
      <c r="X14" s="14">
        <f t="shared" si="9"/>
        <v>574.17117387820508</v>
      </c>
      <c r="Y14" s="14"/>
      <c r="Z14" s="6">
        <f t="shared" si="10"/>
        <v>280.47258425981556</v>
      </c>
      <c r="AA14" s="14">
        <f t="shared" si="11"/>
        <v>306.19381635616975</v>
      </c>
      <c r="AB14" s="14">
        <f t="shared" si="12"/>
        <v>332.52540001502399</v>
      </c>
      <c r="AC14" s="14">
        <f t="shared" si="13"/>
        <v>358.85698367387818</v>
      </c>
    </row>
    <row r="15" spans="2:29" ht="15.75" thickBot="1" x14ac:dyDescent="0.25">
      <c r="C15" s="25"/>
      <c r="D15" s="26"/>
      <c r="E15" s="39"/>
      <c r="F15" s="26"/>
      <c r="G15" s="32"/>
      <c r="H15" s="25"/>
      <c r="I15" s="33"/>
      <c r="J15" s="31"/>
      <c r="K15" s="31"/>
      <c r="L15" s="31"/>
      <c r="M15" s="31"/>
      <c r="N15"/>
      <c r="O15" s="68"/>
      <c r="P15" s="14"/>
      <c r="Q15" s="14"/>
      <c r="R15" s="14"/>
      <c r="S15" s="14"/>
      <c r="T15" s="69"/>
      <c r="U15" s="14"/>
      <c r="V15" s="14"/>
      <c r="W15" s="14"/>
      <c r="X15" s="14"/>
      <c r="Y15" s="14"/>
      <c r="Z15" s="6"/>
      <c r="AA15" s="14"/>
      <c r="AB15" s="14"/>
      <c r="AC15" s="14"/>
    </row>
    <row r="16" spans="2:29" x14ac:dyDescent="0.2">
      <c r="B16" s="79" t="s">
        <v>27</v>
      </c>
      <c r="C16" s="25" t="s">
        <v>54</v>
      </c>
      <c r="D16" s="26">
        <f>Plan1!C10+Plan2!G15</f>
        <v>531.02820512820506</v>
      </c>
      <c r="E16" s="26">
        <f>Plan1!C11+Plan2!G15</f>
        <v>699.59487179487178</v>
      </c>
      <c r="F16" s="26">
        <f>Plan1!C12+Plan2!G15</f>
        <v>872.16153846153838</v>
      </c>
      <c r="G16" s="32">
        <f>Plan1!C13+Plan2!G15</f>
        <v>1044.728205128205</v>
      </c>
      <c r="H16" s="34">
        <v>5.0000000000000001E-3</v>
      </c>
      <c r="I16" s="33" t="s">
        <v>54</v>
      </c>
      <c r="J16" s="31">
        <f t="shared" si="14"/>
        <v>331.89262820512812</v>
      </c>
      <c r="K16" s="31">
        <f t="shared" si="15"/>
        <v>437.24679487179486</v>
      </c>
      <c r="L16" s="31">
        <f t="shared" si="0"/>
        <v>545.10096153846143</v>
      </c>
      <c r="M16" s="31">
        <f t="shared" si="1"/>
        <v>652.95512820512806</v>
      </c>
      <c r="N16" s="83" t="s">
        <v>27</v>
      </c>
      <c r="O16" s="19" t="s">
        <v>54</v>
      </c>
      <c r="P16" s="14">
        <f t="shared" si="2"/>
        <v>207.43289262820505</v>
      </c>
      <c r="Q16" s="14">
        <f t="shared" si="3"/>
        <v>273.27924679487177</v>
      </c>
      <c r="R16" s="14">
        <f t="shared" si="4"/>
        <v>340.6881009615384</v>
      </c>
      <c r="S16" s="14">
        <f t="shared" si="5"/>
        <v>408.09695512820502</v>
      </c>
      <c r="T16" s="19" t="s">
        <v>54</v>
      </c>
      <c r="U16" s="14">
        <f t="shared" si="6"/>
        <v>129.64555789262815</v>
      </c>
      <c r="V16" s="14">
        <f t="shared" si="7"/>
        <v>170.79952924679483</v>
      </c>
      <c r="W16" s="14">
        <f t="shared" si="8"/>
        <v>212.93006310096149</v>
      </c>
      <c r="X16" s="14">
        <f t="shared" si="9"/>
        <v>255.06059695512812</v>
      </c>
      <c r="Y16" s="21">
        <v>5.0000000000000001E-3</v>
      </c>
      <c r="Z16" s="6">
        <f t="shared" si="10"/>
        <v>81.028473682892582</v>
      </c>
      <c r="AA16" s="14">
        <f t="shared" si="11"/>
        <v>106.74970577924677</v>
      </c>
      <c r="AB16" s="14">
        <f t="shared" si="12"/>
        <v>133.08128943810092</v>
      </c>
      <c r="AC16" s="14">
        <f t="shared" si="13"/>
        <v>159.41287309695505</v>
      </c>
    </row>
    <row r="17" spans="2:29" x14ac:dyDescent="0.2">
      <c r="B17" s="79"/>
      <c r="C17" s="25" t="s">
        <v>92</v>
      </c>
      <c r="D17" s="26">
        <f>Plan1!C10+Plan2!G16</f>
        <v>675.02820512820517</v>
      </c>
      <c r="E17" s="26">
        <f>Plan1!C11+Plan2!G16</f>
        <v>843.59487179487178</v>
      </c>
      <c r="F17" s="26">
        <f>Plan1!C12+Plan2!G16</f>
        <v>1016.1615384615385</v>
      </c>
      <c r="G17" s="32">
        <f>Plan1!C13+Plan2!G16</f>
        <v>1188.728205128205</v>
      </c>
      <c r="H17" s="34">
        <v>5.0000000000000001E-3</v>
      </c>
      <c r="I17" s="33" t="s">
        <v>51</v>
      </c>
      <c r="J17" s="31">
        <f t="shared" si="14"/>
        <v>421.89262820512823</v>
      </c>
      <c r="K17" s="31">
        <f t="shared" si="15"/>
        <v>527.2467948717948</v>
      </c>
      <c r="L17" s="31">
        <f t="shared" si="0"/>
        <v>635.10096153846155</v>
      </c>
      <c r="M17" s="31">
        <f t="shared" si="1"/>
        <v>742.95512820512806</v>
      </c>
      <c r="N17" s="84"/>
      <c r="O17" s="16" t="s">
        <v>51</v>
      </c>
      <c r="P17" s="14">
        <f t="shared" si="2"/>
        <v>263.68289262820514</v>
      </c>
      <c r="Q17" s="14">
        <f t="shared" si="3"/>
        <v>329.52924679487171</v>
      </c>
      <c r="R17" s="14">
        <f t="shared" si="4"/>
        <v>396.93810096153845</v>
      </c>
      <c r="S17" s="14">
        <f t="shared" si="5"/>
        <v>464.34695512820502</v>
      </c>
      <c r="T17" s="16" t="s">
        <v>51</v>
      </c>
      <c r="U17" s="14">
        <f t="shared" si="6"/>
        <v>164.8018078926282</v>
      </c>
      <c r="V17" s="14">
        <f t="shared" si="7"/>
        <v>205.9557792467948</v>
      </c>
      <c r="W17" s="14">
        <f t="shared" si="8"/>
        <v>248.08631310096152</v>
      </c>
      <c r="X17" s="14">
        <f t="shared" si="9"/>
        <v>290.21684695512812</v>
      </c>
      <c r="Y17" s="21">
        <v>5.0000000000000001E-3</v>
      </c>
      <c r="Z17" s="6">
        <f t="shared" si="10"/>
        <v>103.00112993289262</v>
      </c>
      <c r="AA17" s="14">
        <f t="shared" si="11"/>
        <v>128.72236202924674</v>
      </c>
      <c r="AB17" s="14">
        <f t="shared" si="12"/>
        <v>155.05394568810095</v>
      </c>
      <c r="AC17" s="14">
        <f t="shared" si="13"/>
        <v>181.38552934695505</v>
      </c>
    </row>
    <row r="18" spans="2:29" x14ac:dyDescent="0.2">
      <c r="B18" s="79"/>
      <c r="C18" s="25" t="s">
        <v>52</v>
      </c>
      <c r="D18" s="26">
        <f>Plan1!C10+Plan2!G17</f>
        <v>915.02820512820517</v>
      </c>
      <c r="E18" s="26">
        <f>Plan1!C11+Plan2!G17</f>
        <v>1083.5948717948718</v>
      </c>
      <c r="F18" s="26">
        <f>Plan1!C12+Plan2!G17</f>
        <v>1256.1615384615384</v>
      </c>
      <c r="G18" s="32">
        <f>Plan1!C13+Plan2!G17</f>
        <v>1428.728205128205</v>
      </c>
      <c r="H18" s="34">
        <v>5.0000000000000001E-3</v>
      </c>
      <c r="I18" s="33" t="s">
        <v>52</v>
      </c>
      <c r="J18" s="31">
        <f t="shared" si="14"/>
        <v>571.89262820512818</v>
      </c>
      <c r="K18" s="31">
        <f t="shared" si="15"/>
        <v>677.2467948717948</v>
      </c>
      <c r="L18" s="31">
        <f t="shared" si="0"/>
        <v>785.10096153846143</v>
      </c>
      <c r="M18" s="31">
        <f t="shared" si="1"/>
        <v>892.95512820512806</v>
      </c>
      <c r="N18" s="84"/>
      <c r="O18" s="16" t="s">
        <v>52</v>
      </c>
      <c r="P18" s="14">
        <f t="shared" si="2"/>
        <v>357.43289262820508</v>
      </c>
      <c r="Q18" s="14">
        <f t="shared" si="3"/>
        <v>423.27924679487171</v>
      </c>
      <c r="R18" s="14">
        <f t="shared" si="4"/>
        <v>490.6881009615384</v>
      </c>
      <c r="S18" s="14">
        <f t="shared" si="5"/>
        <v>558.09695512820497</v>
      </c>
      <c r="T18" s="16" t="s">
        <v>52</v>
      </c>
      <c r="U18" s="14">
        <f t="shared" si="6"/>
        <v>223.39555789262818</v>
      </c>
      <c r="V18" s="14">
        <f t="shared" si="7"/>
        <v>264.5495292467948</v>
      </c>
      <c r="W18" s="14">
        <f t="shared" si="8"/>
        <v>306.68006310096149</v>
      </c>
      <c r="X18" s="14">
        <f t="shared" si="9"/>
        <v>348.81059695512806</v>
      </c>
      <c r="Y18" s="21">
        <v>5.0000000000000001E-3</v>
      </c>
      <c r="Z18" s="6">
        <f t="shared" si="10"/>
        <v>139.62222368289261</v>
      </c>
      <c r="AA18" s="14">
        <f t="shared" si="11"/>
        <v>165.34345577924674</v>
      </c>
      <c r="AB18" s="14">
        <f t="shared" si="12"/>
        <v>191.67503943810092</v>
      </c>
      <c r="AC18" s="14">
        <f t="shared" si="13"/>
        <v>218.00662309695502</v>
      </c>
    </row>
    <row r="19" spans="2:29" x14ac:dyDescent="0.2">
      <c r="B19" s="79"/>
      <c r="C19" s="25" t="s">
        <v>53</v>
      </c>
      <c r="D19" s="26">
        <f>Plan1!C10+Plan2!G18</f>
        <v>1062.7205128205128</v>
      </c>
      <c r="E19" s="26">
        <f>Plan1!C11+Plan2!G18</f>
        <v>1231.2871794871794</v>
      </c>
      <c r="F19" s="26">
        <f>Plan1!C12+Plan2!G18</f>
        <v>1403.853846153846</v>
      </c>
      <c r="G19" s="32">
        <f>Plan1!C13+Plan2!G18</f>
        <v>1576.4205128205126</v>
      </c>
      <c r="H19" s="34">
        <v>5.0000000000000001E-3</v>
      </c>
      <c r="I19" s="33" t="s">
        <v>53</v>
      </c>
      <c r="J19" s="31">
        <f t="shared" si="14"/>
        <v>664.20032051282044</v>
      </c>
      <c r="K19" s="31">
        <f t="shared" si="15"/>
        <v>769.55448717948707</v>
      </c>
      <c r="L19" s="31">
        <f t="shared" si="0"/>
        <v>877.4086538461537</v>
      </c>
      <c r="M19" s="31">
        <f t="shared" si="1"/>
        <v>985.26282051282033</v>
      </c>
      <c r="N19" s="84"/>
      <c r="O19" s="16" t="s">
        <v>53</v>
      </c>
      <c r="P19" s="14">
        <f t="shared" si="2"/>
        <v>415.12520032051276</v>
      </c>
      <c r="Q19" s="14">
        <f t="shared" si="3"/>
        <v>480.97155448717939</v>
      </c>
      <c r="R19" s="14">
        <f t="shared" si="4"/>
        <v>548.38040865384608</v>
      </c>
      <c r="S19" s="14">
        <f t="shared" si="5"/>
        <v>615.7892628205127</v>
      </c>
      <c r="T19" s="16" t="s">
        <v>53</v>
      </c>
      <c r="U19" s="14">
        <f t="shared" si="6"/>
        <v>259.45325020032044</v>
      </c>
      <c r="V19" s="14">
        <f t="shared" si="7"/>
        <v>300.60722155448713</v>
      </c>
      <c r="W19" s="14">
        <f t="shared" si="8"/>
        <v>342.73775540865375</v>
      </c>
      <c r="X19" s="14">
        <f t="shared" si="9"/>
        <v>384.86828926282044</v>
      </c>
      <c r="Y19" s="21">
        <v>5.0000000000000001E-3</v>
      </c>
      <c r="Z19" s="6">
        <f t="shared" si="10"/>
        <v>162.15828137520026</v>
      </c>
      <c r="AA19" s="14">
        <f t="shared" si="11"/>
        <v>187.87951347155445</v>
      </c>
      <c r="AB19" s="14">
        <f t="shared" si="12"/>
        <v>214.21109713040858</v>
      </c>
      <c r="AC19" s="14">
        <f t="shared" si="13"/>
        <v>240.54268078926276</v>
      </c>
    </row>
    <row r="20" spans="2:29" x14ac:dyDescent="0.2">
      <c r="B20" s="79"/>
      <c r="C20" s="25" t="s">
        <v>55</v>
      </c>
      <c r="D20" s="26">
        <f>Plan1!C10+Plan2!G19</f>
        <v>1253.4897435897435</v>
      </c>
      <c r="E20" s="26">
        <f>Plan1!C11+Plan2!G19</f>
        <v>1422.0564102564103</v>
      </c>
      <c r="F20" s="26">
        <f>Plan1!C12+Plan2!G19</f>
        <v>1594.623076923077</v>
      </c>
      <c r="G20" s="32">
        <f>Plan1!C13+Plan2!G19</f>
        <v>1767.1897435897436</v>
      </c>
      <c r="H20" s="34">
        <v>5.0000000000000001E-3</v>
      </c>
      <c r="I20" s="33" t="s">
        <v>55</v>
      </c>
      <c r="J20" s="31">
        <f t="shared" si="14"/>
        <v>783.43108974358961</v>
      </c>
      <c r="K20" s="31">
        <f t="shared" si="15"/>
        <v>888.78525641025647</v>
      </c>
      <c r="L20" s="31">
        <f t="shared" si="0"/>
        <v>996.63942307692309</v>
      </c>
      <c r="M20" s="31">
        <f t="shared" si="1"/>
        <v>1104.4935897435896</v>
      </c>
      <c r="N20" s="84"/>
      <c r="O20" s="16" t="s">
        <v>55</v>
      </c>
      <c r="P20" s="14">
        <f t="shared" si="2"/>
        <v>489.64443108974348</v>
      </c>
      <c r="Q20" s="14">
        <f t="shared" si="3"/>
        <v>555.49078525641028</v>
      </c>
      <c r="R20" s="14">
        <f t="shared" si="4"/>
        <v>622.89963942307691</v>
      </c>
      <c r="S20" s="14">
        <f t="shared" si="5"/>
        <v>690.30849358974342</v>
      </c>
      <c r="T20" s="16" t="s">
        <v>55</v>
      </c>
      <c r="U20" s="14">
        <f t="shared" si="6"/>
        <v>306.02776943108967</v>
      </c>
      <c r="V20" s="14">
        <f t="shared" si="7"/>
        <v>347.18174078525641</v>
      </c>
      <c r="W20" s="14">
        <f t="shared" si="8"/>
        <v>389.31227463942304</v>
      </c>
      <c r="X20" s="14">
        <f t="shared" si="9"/>
        <v>431.44280849358961</v>
      </c>
      <c r="Y20" s="21">
        <v>5.0000000000000001E-3</v>
      </c>
      <c r="Z20" s="6">
        <f t="shared" si="10"/>
        <v>191.26735589443103</v>
      </c>
      <c r="AA20" s="14">
        <f t="shared" si="11"/>
        <v>216.98858799078525</v>
      </c>
      <c r="AB20" s="14">
        <f t="shared" si="12"/>
        <v>243.32017164963938</v>
      </c>
      <c r="AC20" s="14">
        <f t="shared" si="13"/>
        <v>269.65175530849348</v>
      </c>
    </row>
    <row r="21" spans="2:29" x14ac:dyDescent="0.2">
      <c r="B21" s="79"/>
      <c r="C21" s="25" t="s">
        <v>56</v>
      </c>
      <c r="D21" s="26">
        <f>Plan1!C10+Plan2!G20</f>
        <v>1653.4897435897435</v>
      </c>
      <c r="E21" s="26">
        <f>Plan1!C11+Plan2!G20</f>
        <v>1822.0564102564103</v>
      </c>
      <c r="F21" s="26">
        <f>Plan1!C12+Plan2!G20</f>
        <v>1994.623076923077</v>
      </c>
      <c r="G21" s="32">
        <f>Plan1!C13+Plan2!G20</f>
        <v>2167.1897435897436</v>
      </c>
      <c r="H21" s="34">
        <v>5.0000000000000001E-3</v>
      </c>
      <c r="I21" s="33" t="s">
        <v>56</v>
      </c>
      <c r="J21" s="31">
        <f t="shared" si="14"/>
        <v>1033.4310897435896</v>
      </c>
      <c r="K21" s="31">
        <f t="shared" si="15"/>
        <v>1138.7852564102564</v>
      </c>
      <c r="L21" s="31">
        <f t="shared" si="0"/>
        <v>1246.6394230769231</v>
      </c>
      <c r="M21" s="31">
        <f t="shared" si="1"/>
        <v>1354.4935897435896</v>
      </c>
      <c r="N21" s="84"/>
      <c r="O21" s="16" t="s">
        <v>56</v>
      </c>
      <c r="P21" s="14">
        <f t="shared" si="2"/>
        <v>645.89443108974342</v>
      </c>
      <c r="Q21" s="14">
        <f t="shared" si="3"/>
        <v>711.74078525641016</v>
      </c>
      <c r="R21" s="14">
        <f t="shared" si="4"/>
        <v>779.14963942307691</v>
      </c>
      <c r="S21" s="14">
        <f t="shared" si="5"/>
        <v>846.55849358974342</v>
      </c>
      <c r="T21" s="16" t="s">
        <v>56</v>
      </c>
      <c r="U21" s="14">
        <f t="shared" si="6"/>
        <v>403.68401943108961</v>
      </c>
      <c r="V21" s="14">
        <f t="shared" si="7"/>
        <v>444.83799078525635</v>
      </c>
      <c r="W21" s="14">
        <f t="shared" si="8"/>
        <v>486.96852463942304</v>
      </c>
      <c r="X21" s="14">
        <f t="shared" si="9"/>
        <v>529.09905849358961</v>
      </c>
      <c r="Y21" s="21">
        <v>5.0000000000000001E-3</v>
      </c>
      <c r="Z21" s="6">
        <f t="shared" si="10"/>
        <v>252.30251214443101</v>
      </c>
      <c r="AA21" s="14">
        <f t="shared" si="11"/>
        <v>278.02374424078522</v>
      </c>
      <c r="AB21" s="14">
        <f t="shared" si="12"/>
        <v>304.35532789963941</v>
      </c>
      <c r="AC21" s="14">
        <f t="shared" si="13"/>
        <v>330.68691155849348</v>
      </c>
    </row>
    <row r="22" spans="2:29" ht="15.75" thickBot="1" x14ac:dyDescent="0.25">
      <c r="B22" s="79"/>
      <c r="C22" s="25" t="s">
        <v>57</v>
      </c>
      <c r="D22" s="26">
        <f>Plan1!C10+Plan2!G21</f>
        <v>1173.4897435897435</v>
      </c>
      <c r="E22" s="26">
        <f>Plan1!C11+Plan2!G21</f>
        <v>1342.0564102564103</v>
      </c>
      <c r="F22" s="26">
        <f>Plan1!C12+Plan2!G21</f>
        <v>1514.623076923077</v>
      </c>
      <c r="G22" s="32">
        <f>Plan1!C13+Plan2!G21</f>
        <v>1687.1897435897436</v>
      </c>
      <c r="H22" s="34">
        <v>5.0000000000000001E-3</v>
      </c>
      <c r="I22" s="33" t="s">
        <v>58</v>
      </c>
      <c r="J22" s="31">
        <f t="shared" si="14"/>
        <v>733.43108974358961</v>
      </c>
      <c r="K22" s="31">
        <f t="shared" si="15"/>
        <v>838.78525641025647</v>
      </c>
      <c r="L22" s="31">
        <f t="shared" si="0"/>
        <v>946.63942307692309</v>
      </c>
      <c r="M22" s="31">
        <f t="shared" si="1"/>
        <v>1054.4935897435896</v>
      </c>
      <c r="N22" s="85"/>
      <c r="O22" s="17" t="s">
        <v>57</v>
      </c>
      <c r="P22" s="14">
        <f t="shared" si="2"/>
        <v>458.39443108974348</v>
      </c>
      <c r="Q22" s="14">
        <f t="shared" si="3"/>
        <v>524.24078525641028</v>
      </c>
      <c r="R22" s="14">
        <f t="shared" si="4"/>
        <v>591.64963942307691</v>
      </c>
      <c r="S22" s="14">
        <f t="shared" si="5"/>
        <v>659.05849358974342</v>
      </c>
      <c r="T22" s="17" t="s">
        <v>57</v>
      </c>
      <c r="U22" s="14">
        <f t="shared" si="6"/>
        <v>286.49651943108967</v>
      </c>
      <c r="V22" s="14">
        <f t="shared" si="7"/>
        <v>327.65049078525641</v>
      </c>
      <c r="W22" s="14">
        <f t="shared" si="8"/>
        <v>369.78102463942304</v>
      </c>
      <c r="X22" s="14">
        <f t="shared" si="9"/>
        <v>411.91155849358961</v>
      </c>
      <c r="Y22" s="21">
        <v>5.0000000000000001E-3</v>
      </c>
      <c r="Z22" s="6">
        <f t="shared" si="10"/>
        <v>179.06032464443103</v>
      </c>
      <c r="AA22" s="14">
        <f t="shared" si="11"/>
        <v>204.78155674078525</v>
      </c>
      <c r="AB22" s="14">
        <f t="shared" si="12"/>
        <v>231.11314039963938</v>
      </c>
      <c r="AC22" s="14">
        <f t="shared" si="13"/>
        <v>257.44472405849348</v>
      </c>
    </row>
    <row r="25" spans="2:29" x14ac:dyDescent="0.2">
      <c r="B25" t="s">
        <v>62</v>
      </c>
      <c r="C25" s="1">
        <v>1000</v>
      </c>
      <c r="D25" s="8">
        <v>905</v>
      </c>
      <c r="E25" s="39">
        <f>D25/C25</f>
        <v>0.90500000000000003</v>
      </c>
      <c r="F25" s="1" t="s">
        <v>64</v>
      </c>
      <c r="G25" s="71">
        <v>1000</v>
      </c>
      <c r="H25" s="1" t="s">
        <v>67</v>
      </c>
      <c r="I25" s="70" t="s">
        <v>91</v>
      </c>
      <c r="J25" s="8">
        <v>1756</v>
      </c>
    </row>
    <row r="26" spans="2:29" x14ac:dyDescent="0.2">
      <c r="B26" t="s">
        <v>67</v>
      </c>
      <c r="C26" s="1">
        <v>1000</v>
      </c>
      <c r="D26" s="8">
        <v>670</v>
      </c>
      <c r="E26" s="39">
        <f>D26/C26</f>
        <v>0.67</v>
      </c>
      <c r="F26" s="1" t="s">
        <v>64</v>
      </c>
      <c r="G26" s="40">
        <v>500</v>
      </c>
      <c r="J26" s="8">
        <f>J25/1.6</f>
        <v>1097.5</v>
      </c>
    </row>
    <row r="27" spans="2:29" x14ac:dyDescent="0.2">
      <c r="B27" t="s">
        <v>62</v>
      </c>
      <c r="C27" s="1">
        <v>1000</v>
      </c>
      <c r="D27" s="8">
        <v>1505</v>
      </c>
      <c r="E27" s="39">
        <f>D27/C27</f>
        <v>1.5049999999999999</v>
      </c>
      <c r="F27" s="1" t="s">
        <v>65</v>
      </c>
      <c r="G27" s="40">
        <v>250</v>
      </c>
      <c r="J27" s="8">
        <f>J26/1.6</f>
        <v>685.9375</v>
      </c>
    </row>
    <row r="28" spans="2:29" x14ac:dyDescent="0.2">
      <c r="B28" t="s">
        <v>67</v>
      </c>
      <c r="C28" s="1">
        <v>1000</v>
      </c>
      <c r="D28" s="8">
        <v>1269</v>
      </c>
      <c r="E28" s="39">
        <f>D28/C28</f>
        <v>1.2689999999999999</v>
      </c>
      <c r="F28" s="1" t="s">
        <v>65</v>
      </c>
    </row>
    <row r="29" spans="2:29" x14ac:dyDescent="0.2">
      <c r="D29" s="8">
        <v>1269</v>
      </c>
      <c r="E29" s="77"/>
      <c r="F29" s="77"/>
      <c r="G29" s="77"/>
      <c r="I29" s="41">
        <v>1114</v>
      </c>
    </row>
    <row r="30" spans="2:29" x14ac:dyDescent="0.2">
      <c r="B30" s="10" t="s">
        <v>66</v>
      </c>
      <c r="C30" s="37" t="s">
        <v>63</v>
      </c>
      <c r="D30" s="37" t="s">
        <v>61</v>
      </c>
      <c r="E30" s="37" t="s">
        <v>60</v>
      </c>
      <c r="F30"/>
      <c r="G30"/>
      <c r="I30" s="41">
        <v>155</v>
      </c>
      <c r="K30" s="1" t="s">
        <v>75</v>
      </c>
      <c r="L30" s="8">
        <v>40</v>
      </c>
      <c r="M30" s="35"/>
      <c r="O30" s="1" t="s">
        <v>59</v>
      </c>
    </row>
    <row r="31" spans="2:29" x14ac:dyDescent="0.2">
      <c r="B31" s="42" t="s">
        <v>64</v>
      </c>
      <c r="C31" s="43" t="s">
        <v>62</v>
      </c>
      <c r="D31" s="44">
        <v>2000</v>
      </c>
      <c r="E31" s="45">
        <f>D31/E25</f>
        <v>2209.9447513812156</v>
      </c>
      <c r="I31" s="41">
        <f>SUM(I29:I30)</f>
        <v>1269</v>
      </c>
      <c r="K31" s="1" t="s">
        <v>76</v>
      </c>
      <c r="L31" s="8">
        <v>43</v>
      </c>
    </row>
    <row r="32" spans="2:29" x14ac:dyDescent="0.2">
      <c r="B32" s="42" t="s">
        <v>64</v>
      </c>
      <c r="C32" s="43" t="s">
        <v>67</v>
      </c>
      <c r="D32" s="44">
        <v>2000</v>
      </c>
      <c r="E32" s="45">
        <f>D32/E26</f>
        <v>2985.0746268656717</v>
      </c>
      <c r="K32" s="1" t="s">
        <v>77</v>
      </c>
      <c r="L32" s="8">
        <v>40</v>
      </c>
    </row>
    <row r="33" spans="2:12" x14ac:dyDescent="0.2">
      <c r="B33" s="46" t="s">
        <v>65</v>
      </c>
      <c r="C33" s="47" t="s">
        <v>62</v>
      </c>
      <c r="D33" s="48">
        <v>2000</v>
      </c>
      <c r="E33" s="49">
        <f>D33/E27</f>
        <v>1328.9036544850499</v>
      </c>
      <c r="K33" s="1" t="s">
        <v>93</v>
      </c>
      <c r="L33" s="72">
        <v>35</v>
      </c>
    </row>
    <row r="34" spans="2:12" x14ac:dyDescent="0.2">
      <c r="B34" s="46" t="s">
        <v>65</v>
      </c>
      <c r="C34" s="47" t="s">
        <v>67</v>
      </c>
      <c r="D34" s="48">
        <v>2000</v>
      </c>
      <c r="E34" s="50">
        <f>D34/E28</f>
        <v>1576.0441292356188</v>
      </c>
    </row>
    <row r="36" spans="2:12" x14ac:dyDescent="0.2">
      <c r="D36"/>
      <c r="E36"/>
      <c r="F36"/>
      <c r="G36"/>
    </row>
    <row r="37" spans="2:12" x14ac:dyDescent="0.2">
      <c r="B37" s="51" t="s">
        <v>68</v>
      </c>
      <c r="C37" s="51"/>
      <c r="D37" s="51"/>
      <c r="E37" s="51"/>
      <c r="F37" s="8"/>
      <c r="G37" s="23"/>
      <c r="H37" s="52"/>
      <c r="I37" s="52"/>
    </row>
    <row r="38" spans="2:12" x14ac:dyDescent="0.2">
      <c r="F38" s="8"/>
      <c r="G38" s="23"/>
      <c r="H38" s="52"/>
      <c r="I38" s="52"/>
    </row>
    <row r="39" spans="2:12" x14ac:dyDescent="0.2">
      <c r="F39" s="8"/>
      <c r="G39" s="23"/>
      <c r="H39" s="52"/>
      <c r="I39" s="52"/>
    </row>
    <row r="40" spans="2:12" x14ac:dyDescent="0.2">
      <c r="G40" s="23"/>
      <c r="H40" s="52"/>
    </row>
  </sheetData>
  <mergeCells count="25">
    <mergeCell ref="N16:N22"/>
    <mergeCell ref="Y2:Y4"/>
    <mergeCell ref="K2:K4"/>
    <mergeCell ref="L2:L4"/>
    <mergeCell ref="M2:M4"/>
    <mergeCell ref="P2:P4"/>
    <mergeCell ref="N2:N13"/>
    <mergeCell ref="Q2:Q4"/>
    <mergeCell ref="R2:R4"/>
    <mergeCell ref="S2:S4"/>
    <mergeCell ref="U2:U4"/>
    <mergeCell ref="V2:V4"/>
    <mergeCell ref="E29:G29"/>
    <mergeCell ref="B2:B13"/>
    <mergeCell ref="B16:B22"/>
    <mergeCell ref="H2:H4"/>
    <mergeCell ref="C2:D2"/>
    <mergeCell ref="I2:I4"/>
    <mergeCell ref="J2:J4"/>
    <mergeCell ref="AC2:AC4"/>
    <mergeCell ref="W2:W4"/>
    <mergeCell ref="X2:X4"/>
    <mergeCell ref="Z2:Z4"/>
    <mergeCell ref="AA2:AA4"/>
    <mergeCell ref="AB2:AB4"/>
  </mergeCells>
  <dataValidations count="1">
    <dataValidation type="list" allowBlank="1" showInputMessage="1" showErrorMessage="1" sqref="E2" xr:uid="{40318155-801F-47A3-860F-64D755C55569}">
      <formula1>$K$30:$K$33</formula1>
    </dataValidation>
  </dataValidations>
  <printOptions horizontalCentered="1" verticalCentered="1" headings="1"/>
  <pageMargins left="0.25" right="0.25" top="0.75" bottom="0.75" header="0.3" footer="0.3"/>
  <pageSetup paperSize="8" scale="98" orientation="landscape" horizontalDpi="4294967293" r:id="rId1"/>
  <headerFooter>
    <oddHeader>&amp;C&amp;D&amp;RVETOR EMBALAGENS
TABELA SACOLA ESPESSURA 0,010 E 0,005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9D59-D276-6043-88CA-1D7E824C93CF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84A9-D30F-B44F-A461-531F059BE226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Plan1</vt:lpstr>
      <vt:lpstr>Plan2</vt:lpstr>
      <vt:lpstr>Plan3</vt:lpstr>
      <vt:lpstr>Planilha2</vt:lpstr>
      <vt:lpstr>Planilha1</vt:lpstr>
      <vt:lpstr>Plan3!Area_de_impressao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Vetor</dc:creator>
  <cp:keywords/>
  <dc:description/>
  <cp:lastModifiedBy>João Batista</cp:lastModifiedBy>
  <cp:revision/>
  <dcterms:created xsi:type="dcterms:W3CDTF">2010-05-03T10:38:43Z</dcterms:created>
  <dcterms:modified xsi:type="dcterms:W3CDTF">2026-10-26T23:16:09Z</dcterms:modified>
  <cp:category/>
  <cp:contentStatus/>
</cp:coreProperties>
</file>